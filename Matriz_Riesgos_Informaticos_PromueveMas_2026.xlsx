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ro Ejecutivo" sheetId="1" state="visible" r:id="rId1"/>
    <sheet name="Resumen" sheetId="2" state="visible" r:id="rId2"/>
    <sheet name="Inventario de Activos" sheetId="3" state="visible" r:id="rId3"/>
    <sheet name="Matriz de Riesgos" sheetId="4" state="visible" r:id="rId4"/>
    <sheet name="Plan de Tratamiento" sheetId="5" state="visible" r:id="rId5"/>
    <sheet name="Seguimiento 2026" sheetId="6" state="visible" r:id="rId6"/>
    <sheet name="Metodología" sheetId="7" state="visible" r:id="rId7"/>
  </sheets>
  <definedNames>
    <definedName name="_xlnm._FilterDatabase" localSheetId="2" hidden="1">'Inventario de Activos'!$A$4:$I$16</definedName>
    <definedName name="_xlnm._FilterDatabase" localSheetId="3" hidden="1">'Matriz de Riesgos'!$A$4:$Z$30</definedName>
    <definedName name="_xlnm._FilterDatabase" localSheetId="4" hidden="1">'Plan de Tratamiento'!$A$4:$Q$30</definedName>
    <definedName name="_xlnm._FilterDatabase" localSheetId="5" hidden="1">'Seguimiento 2026'!$A$4:$J$16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203864"/>
      <sz val="17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03864"/>
      <sz val="11"/>
    </font>
    <font>
      <name val="Arial"/>
      <b val="1"/>
      <sz val="9"/>
    </font>
    <font>
      <name val="Arial"/>
      <b val="1"/>
      <sz val="12"/>
    </font>
    <font>
      <name val="Arial"/>
      <b val="1"/>
      <color rgb="00FFFFFF"/>
      <sz val="9"/>
    </font>
    <font>
      <name val="Arial"/>
      <b val="1"/>
      <color rgb="00C00000"/>
      <sz val="10"/>
    </font>
    <font>
      <name val="Arial"/>
      <b val="1"/>
      <color rgb="00FFFFFF"/>
      <sz val="22"/>
    </font>
    <font>
      <name val="Arial"/>
      <b val="1"/>
      <color rgb="00203864"/>
      <sz val="22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8CBAD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20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8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5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center"/>
    </xf>
    <xf numFmtId="0" fontId="8" fillId="2" borderId="0" applyAlignment="1" pivotButton="0" quotePrefix="0" xfId="0">
      <alignment vertical="center"/>
    </xf>
    <xf numFmtId="0" fontId="6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165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/>
    </xf>
    <xf numFmtId="0" fontId="6" fillId="0" borderId="1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Riesgo inherente vs. residual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'Tablero Ejecutivo'!B11</f>
            </strRef>
          </tx>
          <spPr>
            <a:ln>
              <a:prstDash val="solid"/>
            </a:ln>
          </spPr>
          <cat>
            <numRef>
              <f>'Tablero Ejecutivo'!$A$12:$A$15</f>
            </numRef>
          </cat>
          <val>
            <numRef>
              <f>'Tablero Ejecutivo'!$B$12:$B$15</f>
            </numRef>
          </val>
        </ser>
        <ser>
          <idx val="1"/>
          <order val="1"/>
          <tx>
            <strRef>
              <f>'Tablero Ejecutivo'!C11</f>
            </strRef>
          </tx>
          <spPr>
            <a:ln>
              <a:prstDash val="solid"/>
            </a:ln>
          </spPr>
          <cat>
            <numRef>
              <f>'Tablero Ejecutivo'!$A$12:$A$15</f>
            </numRef>
          </cat>
          <val>
            <numRef>
              <f>'Tablero Ejecutivo'!$C$12:$C$15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riesgos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acciones de tratamiento</a:t>
            </a:r>
          </a:p>
        </rich>
      </tx>
    </title>
    <plotArea>
      <doughnutChart>
        <varyColors val="1"/>
        <ser>
          <idx val="0"/>
          <order val="0"/>
          <tx>
            <strRef>
              <f>'Tablero Ejecutivo'!B19</f>
            </strRef>
          </tx>
          <spPr>
            <a:ln>
              <a:prstDash val="solid"/>
            </a:ln>
          </spPr>
          <cat>
            <numRef>
              <f>'Tablero Ejecutivo'!$A$20:$A$22</f>
            </numRef>
          </cat>
          <val>
            <numRef>
              <f>'Tablero Ejecutivo'!$B$20:$B$22</f>
            </numRef>
          </val>
        </ser>
        <dLbls>
          <showPercent val="1"/>
          <showLeaderLines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Categorías con mayor exposición residual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'Tablero Ejecutivo'!B27</f>
            </strRef>
          </tx>
          <spPr>
            <a:ln>
              <a:prstDash val="solid"/>
            </a:ln>
          </spPr>
          <cat>
            <numRef>
              <f>'Tablero Ejecutivo'!$A$28:$A$35</f>
            </numRef>
          </cat>
          <val>
            <numRef>
              <f>'Tablero Ejecutivo'!$B$28:$B$35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Puntaje acumulado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Criticidad del inventario de activos</a:t>
            </a:r>
          </a:p>
        </rich>
      </tx>
    </title>
    <plotArea>
      <pieChart>
        <varyColors val="1"/>
        <ser>
          <idx val="0"/>
          <order val="0"/>
          <tx>
            <strRef>
              <f>'Tablero Ejecutivo'!B39</f>
            </strRef>
          </tx>
          <spPr>
            <a:ln>
              <a:prstDash val="solid"/>
            </a:ln>
          </spPr>
          <cat>
            <numRef>
              <f>'Tablero Ejecutivo'!$A$40:$A$42</f>
            </numRef>
          </cat>
          <val>
            <numRef>
              <f>'Tablero Ejecutivo'!$B$40:$B$42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de riesgos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'Resumen'!$A$12:$D$12</f>
            </numRef>
          </cat>
          <val>
            <numRef>
              <f>'Resumen'!$A$13:$D$13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25</row>
      <rowOff>0</rowOff>
    </from>
    <ext cx="50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25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1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17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1" t="inlineStr">
        <is>
          <t>TABLERO EJECUTIVO DE RIESGOS</t>
        </is>
      </c>
    </row>
    <row r="2" ht="22" customHeight="1">
      <c r="A2" s="2" t="inlineStr">
        <is>
          <t>Vista gerencial de exposición, controles y avance del plan – Corte 17 de julio de 2026</t>
        </is>
      </c>
    </row>
    <row r="4">
      <c r="A4" s="3" t="inlineStr">
        <is>
          <t>RIESGOS IDENTIFICADOS</t>
        </is>
      </c>
      <c r="B4" s="4" t="n"/>
      <c r="C4" s="4" t="n"/>
      <c r="D4" s="5" t="inlineStr">
        <is>
          <t>RESIDUALES EXTREMOS</t>
        </is>
      </c>
      <c r="E4" s="4" t="n"/>
      <c r="F4" s="4" t="n"/>
      <c r="G4" s="6" t="inlineStr">
        <is>
          <t>RESIDUALES ALTOS</t>
        </is>
      </c>
      <c r="H4" s="4" t="n"/>
      <c r="I4" s="4" t="n"/>
      <c r="J4" s="7" t="inlineStr">
        <is>
          <t>ACCIONES ABIERTAS</t>
        </is>
      </c>
      <c r="K4" s="4" t="n"/>
      <c r="L4" s="4" t="n"/>
      <c r="M4" s="8" t="inlineStr">
        <is>
          <t>EFECTIVIDAD PROMEDIO</t>
        </is>
      </c>
      <c r="N4" s="4" t="n"/>
      <c r="O4" s="4" t="n"/>
    </row>
    <row r="5">
      <c r="A5" s="9" t="n">
        <v>26</v>
      </c>
      <c r="B5" s="4" t="n"/>
      <c r="C5" s="4" t="n"/>
      <c r="D5" s="10" t="n">
        <v>2</v>
      </c>
      <c r="E5" s="4" t="n"/>
      <c r="F5" s="4" t="n"/>
      <c r="G5" s="11" t="n">
        <v>19</v>
      </c>
      <c r="H5" s="4" t="n"/>
      <c r="I5" s="4" t="n"/>
      <c r="J5" s="12" t="n">
        <v>26</v>
      </c>
      <c r="K5" s="4" t="n"/>
      <c r="L5" s="4" t="n"/>
      <c r="M5" s="13" t="inlineStr">
        <is>
          <t>37.7%</t>
        </is>
      </c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10">
      <c r="A10" s="14" t="inlineStr">
        <is>
          <t>EXPOSICIÓN POR NIVEL</t>
        </is>
      </c>
    </row>
    <row r="11" ht="32" customHeight="1">
      <c r="A11" s="15" t="inlineStr">
        <is>
          <t>Nivel</t>
        </is>
      </c>
      <c r="B11" s="15" t="inlineStr">
        <is>
          <t>Inherente</t>
        </is>
      </c>
      <c r="C11" s="15" t="inlineStr">
        <is>
          <t>Residual</t>
        </is>
      </c>
    </row>
    <row r="12">
      <c r="A12" s="16" t="inlineStr">
        <is>
          <t>Extremo</t>
        </is>
      </c>
      <c r="B12" s="17" t="n">
        <v>6</v>
      </c>
      <c r="C12" s="17" t="n">
        <v>2</v>
      </c>
    </row>
    <row r="13">
      <c r="A13" s="18" t="inlineStr">
        <is>
          <t>Alto</t>
        </is>
      </c>
      <c r="B13" s="17" t="n">
        <v>16</v>
      </c>
      <c r="C13" s="17" t="n">
        <v>19</v>
      </c>
    </row>
    <row r="14">
      <c r="A14" s="19" t="inlineStr">
        <is>
          <t>Moderado</t>
        </is>
      </c>
      <c r="B14" s="17" t="n">
        <v>4</v>
      </c>
      <c r="C14" s="17" t="n">
        <v>4</v>
      </c>
    </row>
    <row r="15">
      <c r="A15" s="20" t="inlineStr">
        <is>
          <t>Bajo</t>
        </is>
      </c>
      <c r="B15" s="17" t="n">
        <v>0</v>
      </c>
      <c r="C15" s="17" t="n">
        <v>1</v>
      </c>
    </row>
    <row r="18">
      <c r="A18" s="14" t="inlineStr">
        <is>
          <t>ESTADO DEL PLAN</t>
        </is>
      </c>
    </row>
    <row r="19" ht="32" customHeight="1">
      <c r="A19" s="15" t="inlineStr">
        <is>
          <t>Estado</t>
        </is>
      </c>
      <c r="B19" s="15" t="inlineStr">
        <is>
          <t>Acciones</t>
        </is>
      </c>
    </row>
    <row r="20">
      <c r="A20" s="21" t="inlineStr">
        <is>
          <t>Pendiente</t>
        </is>
      </c>
      <c r="B20" s="17" t="n">
        <v>18</v>
      </c>
    </row>
    <row r="21">
      <c r="A21" s="21" t="inlineStr">
        <is>
          <t>En curso</t>
        </is>
      </c>
      <c r="B21" s="17" t="n">
        <v>8</v>
      </c>
    </row>
    <row r="22">
      <c r="A22" s="21" t="inlineStr">
        <is>
          <t>Completada</t>
        </is>
      </c>
      <c r="B22" s="17" t="n">
        <v>0</v>
      </c>
    </row>
    <row r="26">
      <c r="A26" s="14" t="inlineStr">
        <is>
          <t>EXPOSICIÓN RESIDUAL POR CATEGORÍA</t>
        </is>
      </c>
    </row>
    <row r="27" ht="32" customHeight="1">
      <c r="A27" s="15" t="inlineStr">
        <is>
          <t>Categoría</t>
        </is>
      </c>
      <c r="B27" s="15" t="inlineStr">
        <is>
          <t>Puntaje acumulado</t>
        </is>
      </c>
    </row>
    <row r="28">
      <c r="A28" s="22" t="inlineStr">
        <is>
          <t>Control de acceso</t>
        </is>
      </c>
      <c r="B28" s="17" t="n">
        <v>36</v>
      </c>
    </row>
    <row r="29">
      <c r="A29" s="22" t="inlineStr">
        <is>
          <t>Seguridad física</t>
        </is>
      </c>
      <c r="B29" s="17" t="n">
        <v>32</v>
      </c>
    </row>
    <row r="30">
      <c r="A30" s="22" t="inlineStr">
        <is>
          <t>Segmentación</t>
        </is>
      </c>
      <c r="B30" s="17" t="n">
        <v>24</v>
      </c>
    </row>
    <row r="31">
      <c r="A31" s="22" t="inlineStr">
        <is>
          <t>Software</t>
        </is>
      </c>
      <c r="B31" s="17" t="n">
        <v>16</v>
      </c>
    </row>
    <row r="32">
      <c r="A32" s="22" t="inlineStr">
        <is>
          <t>Gestión de información</t>
        </is>
      </c>
      <c r="B32" s="17" t="n">
        <v>16</v>
      </c>
    </row>
    <row r="33">
      <c r="A33" s="22" t="inlineStr">
        <is>
          <t>Gobierno de cuentas</t>
        </is>
      </c>
      <c r="B33" s="17" t="n">
        <v>16</v>
      </c>
    </row>
    <row r="34">
      <c r="A34" s="22" t="inlineStr">
        <is>
          <t>Malware</t>
        </is>
      </c>
      <c r="B34" s="17" t="n">
        <v>15</v>
      </c>
    </row>
    <row r="35">
      <c r="A35" s="22" t="inlineStr">
        <is>
          <t>Seguridad de red</t>
        </is>
      </c>
      <c r="B35" s="17" t="n">
        <v>15</v>
      </c>
    </row>
    <row r="38">
      <c r="A38" s="14" t="inlineStr">
        <is>
          <t>CRITICIDAD DE ACTIVOS</t>
        </is>
      </c>
    </row>
    <row r="39" ht="32" customHeight="1">
      <c r="A39" s="15" t="inlineStr">
        <is>
          <t>Criticidad</t>
        </is>
      </c>
      <c r="B39" s="15" t="inlineStr">
        <is>
          <t>Activos</t>
        </is>
      </c>
    </row>
    <row r="40">
      <c r="A40" s="17" t="inlineStr">
        <is>
          <t>Crítica</t>
        </is>
      </c>
      <c r="B40" s="17" t="n">
        <v>8</v>
      </c>
    </row>
    <row r="41">
      <c r="A41" s="17" t="inlineStr">
        <is>
          <t>Alta</t>
        </is>
      </c>
      <c r="B41" s="17" t="n">
        <v>3</v>
      </c>
    </row>
    <row r="42">
      <c r="A42" s="17" t="inlineStr">
        <is>
          <t>Media</t>
        </is>
      </c>
      <c r="B42" s="17" t="n">
        <v>1</v>
      </c>
    </row>
    <row r="46">
      <c r="A46" s="23" t="inlineStr">
        <is>
          <t>DIAGNÓSTICO EJECUTIVO</t>
        </is>
      </c>
    </row>
    <row r="47" ht="28" customHeight="1">
      <c r="A47" s="24" t="inlineStr">
        <is>
          <t>Estado general</t>
        </is>
      </c>
      <c r="D47" s="25" t="inlineStr">
        <is>
          <t>CRÍTICO</t>
        </is>
      </c>
    </row>
    <row r="48" ht="28" customHeight="1">
      <c r="A48" s="24" t="inlineStr">
        <is>
          <t>Exposición prioritaria</t>
        </is>
      </c>
      <c r="D48" s="22" t="inlineStr">
        <is>
          <t>2 riesgos extremos y 19 altos después de controles actuales.</t>
        </is>
      </c>
    </row>
    <row r="49" ht="28" customHeight="1">
      <c r="A49" s="24" t="inlineStr">
        <is>
          <t>Debilidades dominantes</t>
        </is>
      </c>
      <c r="D49" s="22" t="inlineStr">
        <is>
          <t>Accesos físicos y lógicos, sesiones abiertas, clasificación de información, cuentas/correos, red, backups y monitoreo.</t>
        </is>
      </c>
    </row>
    <row r="50" ht="28" customHeight="1">
      <c r="A50" s="24" t="inlineStr">
        <is>
          <t>Fortalezas actuales</t>
        </is>
      </c>
      <c r="D50" s="22" t="inlineStr">
        <is>
          <t>MFA en cPanel y Solution System, soporte de proveedores, SSL, actualización de WordPress y backup mensual.</t>
        </is>
      </c>
    </row>
    <row r="51" ht="28" customHeight="1">
      <c r="A51" s="24" t="inlineStr">
        <is>
          <t>Próximo hito</t>
        </is>
      </c>
      <c r="D51" s="22" t="inlineStr">
        <is>
          <t>Formalizar controles inmediatos y realizar seguimiento de la matriz el 30/09/2026.</t>
        </is>
      </c>
    </row>
  </sheetData>
  <mergeCells count="23">
    <mergeCell ref="J4:L4"/>
    <mergeCell ref="A50:C50"/>
    <mergeCell ref="D51:P51"/>
    <mergeCell ref="A47:C47"/>
    <mergeCell ref="D4:F4"/>
    <mergeCell ref="D50:P50"/>
    <mergeCell ref="G4:I4"/>
    <mergeCell ref="D5:F7"/>
    <mergeCell ref="A4:C4"/>
    <mergeCell ref="A5:C7"/>
    <mergeCell ref="G5:I7"/>
    <mergeCell ref="A1:P1"/>
    <mergeCell ref="M4:O4"/>
    <mergeCell ref="A48:C48"/>
    <mergeCell ref="D49:P49"/>
    <mergeCell ref="A51:C51"/>
    <mergeCell ref="A46:P46"/>
    <mergeCell ref="A49:C49"/>
    <mergeCell ref="J5:L7"/>
    <mergeCell ref="M5:O7"/>
    <mergeCell ref="D48:P48"/>
    <mergeCell ref="D47:P47"/>
    <mergeCell ref="A2:P2"/>
  </mergeCells>
  <pageMargins left="0.75" right="0.75" top="1" bottom="1" header="0.5" footer="0.5"/>
  <pageSetup orientation="landscape" fitToHeight="0" fitToWidth="1"/>
  <headerFooter>
    <oddHeader/>
    <oddFooter>&amp;C&amp;8 Promueve Más S.A.S. | Vigencia 2026 |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selection activeCell="A1" sqref="A1"/>
    </sheetView>
  </sheetViews>
  <sheetFormatPr baseColWidth="8" defaultRowHeight="15" outlineLevelCol="0"/>
  <cols>
    <col width="20" customWidth="1" min="1" max="1"/>
    <col width="18" customWidth="1" min="2" max="2"/>
    <col width="18" customWidth="1" min="3" max="3"/>
    <col width="18" customWidth="1" min="4" max="4"/>
    <col width="4" customWidth="1" min="5" max="5"/>
    <col width="20" customWidth="1" min="6" max="6"/>
    <col width="18" customWidth="1" min="7" max="7"/>
    <col width="18" customWidth="1" min="8" max="8"/>
    <col width="18" customWidth="1" min="9" max="9"/>
    <col width="4" customWidth="1" min="10" max="10"/>
  </cols>
  <sheetData>
    <row r="1" ht="28" customHeight="1">
      <c r="A1" s="1" t="inlineStr">
        <is>
          <t>PROMUEVE MÁS S.A.S.</t>
        </is>
      </c>
    </row>
    <row r="2" ht="22" customHeight="1">
      <c r="A2" s="2" t="inlineStr">
        <is>
          <t>Matriz de Riesgos Informáticos y Plan de Tratamiento – Vigencia 2026</t>
        </is>
      </c>
    </row>
    <row r="4">
      <c r="A4" s="26" t="inlineStr">
        <is>
          <t>Entidad</t>
        </is>
      </c>
      <c r="B4" s="22" t="inlineStr">
        <is>
          <t>Promueve Más S.A.S.</t>
        </is>
      </c>
    </row>
    <row r="5">
      <c r="A5" s="26" t="inlineStr">
        <is>
          <t>Responsable funcional</t>
        </is>
      </c>
      <c r="B5" s="22" t="inlineStr">
        <is>
          <t>Dirección Administrativa y Financiera (Gestión de TI)</t>
        </is>
      </c>
    </row>
    <row r="6">
      <c r="A6" s="26" t="inlineStr">
        <is>
          <t>Fecha de elaboración</t>
        </is>
      </c>
      <c r="B6" s="27" t="n">
        <v>46220</v>
      </c>
    </row>
    <row r="7">
      <c r="A7" s="26" t="inlineStr">
        <is>
          <t>Versión</t>
        </is>
      </c>
      <c r="B7" s="22" t="inlineStr">
        <is>
          <t>1.0</t>
        </is>
      </c>
    </row>
    <row r="8">
      <c r="A8" s="26" t="inlineStr">
        <is>
          <t>Próxima revisión formal</t>
        </is>
      </c>
      <c r="B8" s="27" t="n">
        <v>46295</v>
      </c>
    </row>
    <row r="9">
      <c r="A9" s="26" t="inlineStr">
        <is>
          <t>Alcance</t>
        </is>
      </c>
      <c r="B9" s="22" t="inlineStr">
        <is>
          <t>Activos tecnológicos, información digital y física, proveedores, usuarios y servicios críticos</t>
        </is>
      </c>
    </row>
    <row r="11">
      <c r="A11" s="14" t="inlineStr">
        <is>
          <t>RESUMEN DE RIESGO INHERENTE</t>
        </is>
      </c>
      <c r="F11" s="14" t="inlineStr">
        <is>
          <t>RESUMEN DE RIESGO RESIDUAL</t>
        </is>
      </c>
    </row>
    <row r="12">
      <c r="A12" s="16" t="inlineStr">
        <is>
          <t>Extremo</t>
        </is>
      </c>
      <c r="B12" s="18" t="inlineStr">
        <is>
          <t>Alto</t>
        </is>
      </c>
      <c r="C12" s="19" t="inlineStr">
        <is>
          <t>Moderado</t>
        </is>
      </c>
      <c r="D12" s="20" t="inlineStr">
        <is>
          <t>Bajo</t>
        </is>
      </c>
      <c r="F12" s="16" t="inlineStr">
        <is>
          <t>Extremo</t>
        </is>
      </c>
      <c r="G12" s="18" t="inlineStr">
        <is>
          <t>Alto</t>
        </is>
      </c>
      <c r="H12" s="19" t="inlineStr">
        <is>
          <t>Moderado</t>
        </is>
      </c>
      <c r="I12" s="20" t="inlineStr">
        <is>
          <t>Bajo</t>
        </is>
      </c>
    </row>
    <row r="13">
      <c r="A13" s="28" t="n">
        <v>6</v>
      </c>
      <c r="B13" s="28" t="n">
        <v>16</v>
      </c>
      <c r="C13" s="28" t="n">
        <v>4</v>
      </c>
      <c r="D13" s="28" t="n">
        <v>0</v>
      </c>
      <c r="F13" s="28" t="n">
        <v>2</v>
      </c>
      <c r="G13" s="28" t="n">
        <v>19</v>
      </c>
      <c r="H13" s="28" t="n">
        <v>4</v>
      </c>
      <c r="I13" s="28" t="n">
        <v>1</v>
      </c>
    </row>
    <row r="16">
      <c r="A16" s="14" t="inlineStr">
        <is>
          <t>LECTURA EJECUTIVA</t>
        </is>
      </c>
    </row>
    <row r="17" ht="22" customHeight="1">
      <c r="A17" s="22" t="inlineStr">
        <is>
          <t>• La valoración inherente refleja la exposición antes de considerar los controles existentes.</t>
        </is>
      </c>
    </row>
    <row r="18" ht="22" customHeight="1">
      <c r="A18" s="22" t="inlineStr">
        <is>
          <t>• La valoración residual refleja la exposición actual después de reconocer únicamente controles verificables.</t>
        </is>
      </c>
    </row>
    <row r="19" ht="22" customHeight="1">
      <c r="A19" s="22" t="inlineStr">
        <is>
          <t>• Los riesgos Altos y Extremos requieren acciones de tratamiento, responsable, fecha, indicador y seguimiento formal.</t>
        </is>
      </c>
    </row>
    <row r="20" ht="22" customHeight="1">
      <c r="A20" s="22" t="inlineStr">
        <is>
          <t>• La matriz se implementa en junio de 2026 y se revisará formalmente en septiembre y diciembre de 2026.</t>
        </is>
      </c>
    </row>
    <row r="21" ht="22" customHeight="1">
      <c r="A21" s="22" t="inlineStr">
        <is>
          <t>• Este instrumento debe actualizarse cuando cambien activos, proveedores, procesos, amenazas o controles.</t>
        </is>
      </c>
    </row>
  </sheetData>
  <mergeCells count="13">
    <mergeCell ref="B4:F4"/>
    <mergeCell ref="A1:J1"/>
    <mergeCell ref="B7:F7"/>
    <mergeCell ref="B6:F6"/>
    <mergeCell ref="A17:J17"/>
    <mergeCell ref="A18:J18"/>
    <mergeCell ref="B5:F5"/>
    <mergeCell ref="A21:J21"/>
    <mergeCell ref="A20:J20"/>
    <mergeCell ref="A2:J2"/>
    <mergeCell ref="B8:F8"/>
    <mergeCell ref="B9:F9"/>
    <mergeCell ref="A19:J19"/>
  </mergeCells>
  <pageMargins left="0.75" right="0.75" top="1" bottom="1" header="0.5" footer="0.5"/>
  <pageSetup orientation="landscape" fitToHeight="0" fitToWidth="1"/>
  <headerFooter>
    <oddHeader/>
    <oddFooter>&amp;C&amp;8 Promueve Más S.A.S. | Vigencia 2026 |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5" customWidth="1" min="2" max="2"/>
    <col width="55" customWidth="1" min="3" max="3"/>
    <col width="7" customWidth="1" min="4" max="4"/>
    <col width="7" customWidth="1" min="5" max="5"/>
    <col width="7" customWidth="1" min="6" max="6"/>
    <col width="12" customWidth="1" min="7" max="7"/>
    <col width="13" customWidth="1" min="8" max="8"/>
    <col width="35" customWidth="1" min="9" max="9"/>
  </cols>
  <sheetData>
    <row r="1" ht="28" customHeight="1">
      <c r="A1" s="1" t="inlineStr">
        <is>
          <t>INVENTARIO Y CRITICIDAD DE ACTIVOS</t>
        </is>
      </c>
    </row>
    <row r="2" ht="22" customHeight="1">
      <c r="A2" s="2" t="inlineStr">
        <is>
          <t>C = Confidencialidad, I = Integridad, D = Disponibilidad (1 Bajo, 2 Medio, 3 Alto)</t>
        </is>
      </c>
    </row>
    <row r="4" ht="32" customHeight="1">
      <c r="A4" s="15" t="inlineStr">
        <is>
          <t>ID</t>
        </is>
      </c>
      <c r="B4" s="15" t="inlineStr">
        <is>
          <t>Activo / recurso</t>
        </is>
      </c>
      <c r="C4" s="15" t="inlineStr">
        <is>
          <t>Descripción</t>
        </is>
      </c>
      <c r="D4" s="15" t="inlineStr">
        <is>
          <t>C</t>
        </is>
      </c>
      <c r="E4" s="15" t="inlineStr">
        <is>
          <t>I</t>
        </is>
      </c>
      <c r="F4" s="15" t="inlineStr">
        <is>
          <t>D</t>
        </is>
      </c>
      <c r="G4" s="15" t="inlineStr">
        <is>
          <t>Puntaje CIA</t>
        </is>
      </c>
      <c r="H4" s="15" t="inlineStr">
        <is>
          <t>Criticidad</t>
        </is>
      </c>
      <c r="I4" s="15" t="inlineStr">
        <is>
          <t>Propietario / custodio</t>
        </is>
      </c>
    </row>
    <row r="5" ht="50" customHeight="1">
      <c r="A5" s="17" t="inlineStr">
        <is>
          <t>A-01</t>
        </is>
      </c>
      <c r="B5" s="22" t="inlineStr">
        <is>
          <t>Equipos de cómputo</t>
        </is>
      </c>
      <c r="C5" s="22" t="inlineStr">
        <is>
          <t>26 computadores en arrendamiento usados por personal directo y en misión</t>
        </is>
      </c>
      <c r="D5" s="17" t="n">
        <v>2</v>
      </c>
      <c r="E5" s="17" t="n">
        <v>2</v>
      </c>
      <c r="F5" s="17" t="n">
        <v>3</v>
      </c>
      <c r="G5" s="17">
        <f>SUM(D5:F5)</f>
        <v/>
      </c>
      <c r="H5" s="17" t="inlineStr">
        <is>
          <t>Alta</t>
        </is>
      </c>
      <c r="I5" s="22" t="inlineStr">
        <is>
          <t>Dirección Administrativa y Financiera / TI</t>
        </is>
      </c>
    </row>
    <row r="6" ht="50" customHeight="1">
      <c r="A6" s="17" t="inlineStr">
        <is>
          <t>A-02</t>
        </is>
      </c>
      <c r="B6" s="22" t="inlineStr">
        <is>
          <t>Red institucional</t>
        </is>
      </c>
      <c r="C6" s="22" t="inlineStr">
        <is>
          <t>Redes WiFi principal 5 GHz, principal 2,4 GHz y visitantes; routers administrables y canal Movistar</t>
        </is>
      </c>
      <c r="D6" s="17" t="n">
        <v>2</v>
      </c>
      <c r="E6" s="17" t="n">
        <v>3</v>
      </c>
      <c r="F6" s="17" t="n">
        <v>3</v>
      </c>
      <c r="G6" s="17">
        <f>SUM(D6:F6)</f>
        <v/>
      </c>
      <c r="H6" s="17" t="inlineStr">
        <is>
          <t>Crítica</t>
        </is>
      </c>
      <c r="I6" s="22" t="inlineStr">
        <is>
          <t>Dirección Administrativa y Financiera / TI</t>
        </is>
      </c>
    </row>
    <row r="7" ht="50" customHeight="1">
      <c r="A7" s="17" t="inlineStr">
        <is>
          <t>A-03</t>
        </is>
      </c>
      <c r="B7" s="22" t="inlineStr">
        <is>
          <t>Información institucional y respaldos</t>
        </is>
      </c>
      <c r="C7" s="22" t="inlineStr">
        <is>
          <t>Archivos administrativos, financieros, contractuales y operativos almacenados en equipos y disco externo</t>
        </is>
      </c>
      <c r="D7" s="17" t="n">
        <v>3</v>
      </c>
      <c r="E7" s="17" t="n">
        <v>3</v>
      </c>
      <c r="F7" s="17" t="n">
        <v>3</v>
      </c>
      <c r="G7" s="17">
        <f>SUM(D7:F7)</f>
        <v/>
      </c>
      <c r="H7" s="17" t="inlineStr">
        <is>
          <t>Crítica</t>
        </is>
      </c>
      <c r="I7" s="22" t="inlineStr">
        <is>
          <t>Dirección Administrativa y Financiera</t>
        </is>
      </c>
    </row>
    <row r="8" ht="50" customHeight="1">
      <c r="A8" s="17" t="inlineStr">
        <is>
          <t>A-04</t>
        </is>
      </c>
      <c r="B8" s="22" t="inlineStr">
        <is>
          <t>Documentos físicos</t>
        </is>
      </c>
      <c r="C8" s="22" t="inlineStr">
        <is>
          <t>Contratos, documentos financieros y expedientes en papel</t>
        </is>
      </c>
      <c r="D8" s="17" t="n">
        <v>3</v>
      </c>
      <c r="E8" s="17" t="n">
        <v>3</v>
      </c>
      <c r="F8" s="17" t="n">
        <v>2</v>
      </c>
      <c r="G8" s="17">
        <f>SUM(D8:F8)</f>
        <v/>
      </c>
      <c r="H8" s="17" t="inlineStr">
        <is>
          <t>Crítica</t>
        </is>
      </c>
      <c r="I8" s="22" t="inlineStr">
        <is>
          <t>Responsables de cada proceso</t>
        </is>
      </c>
    </row>
    <row r="9" ht="50" customHeight="1">
      <c r="A9" s="17" t="inlineStr">
        <is>
          <t>A-05</t>
        </is>
      </c>
      <c r="B9" s="22" t="inlineStr">
        <is>
          <t>Correo institucional y cPanel</t>
        </is>
      </c>
      <c r="C9" s="22" t="inlineStr">
        <is>
          <t>Cuentas corporativas, buzón PQRS y panel de administración del hosting</t>
        </is>
      </c>
      <c r="D9" s="17" t="n">
        <v>3</v>
      </c>
      <c r="E9" s="17" t="n">
        <v>3</v>
      </c>
      <c r="F9" s="17" t="n">
        <v>3</v>
      </c>
      <c r="G9" s="17">
        <f>SUM(D9:F9)</f>
        <v/>
      </c>
      <c r="H9" s="17" t="inlineStr">
        <is>
          <t>Crítica</t>
        </is>
      </c>
      <c r="I9" s="22" t="inlineStr">
        <is>
          <t>Dirección Administrativa y Financiera / TI</t>
        </is>
      </c>
    </row>
    <row r="10" ht="50" customHeight="1">
      <c r="A10" s="17" t="inlineStr">
        <is>
          <t>A-06</t>
        </is>
      </c>
      <c r="B10" s="22" t="inlineStr">
        <is>
          <t>Sitio web WordPress</t>
        </is>
      </c>
      <c r="C10" s="22" t="inlineStr">
        <is>
          <t>Página institucional creada en WordPress y Elementor con plugins administrados por TI</t>
        </is>
      </c>
      <c r="D10" s="17" t="n">
        <v>2</v>
      </c>
      <c r="E10" s="17" t="n">
        <v>2</v>
      </c>
      <c r="F10" s="17" t="n">
        <v>3</v>
      </c>
      <c r="G10" s="17">
        <f>SUM(D10:F10)</f>
        <v/>
      </c>
      <c r="H10" s="17" t="inlineStr">
        <is>
          <t>Alta</t>
        </is>
      </c>
      <c r="I10" s="22" t="inlineStr">
        <is>
          <t>Dirección Administrativa y Financiera / TI</t>
        </is>
      </c>
    </row>
    <row r="11" ht="50" customHeight="1">
      <c r="A11" s="17" t="inlineStr">
        <is>
          <t>A-07</t>
        </is>
      </c>
      <c r="B11" s="22" t="inlineStr">
        <is>
          <t>Datos personales de PQRS</t>
        </is>
      </c>
      <c r="C11" s="22" t="inlineStr">
        <is>
          <t>Nombres, cédulas, teléfonos, correos y contenido de solicitudes recibidas desde la web</t>
        </is>
      </c>
      <c r="D11" s="17" t="n">
        <v>3</v>
      </c>
      <c r="E11" s="17" t="n">
        <v>3</v>
      </c>
      <c r="F11" s="17" t="n">
        <v>2</v>
      </c>
      <c r="G11" s="17">
        <f>SUM(D11:F11)</f>
        <v/>
      </c>
      <c r="H11" s="17" t="inlineStr">
        <is>
          <t>Crítica</t>
        </is>
      </c>
      <c r="I11" s="22" t="inlineStr">
        <is>
          <t>Dirección Administrativa y Financiera / responsable PQRS</t>
        </is>
      </c>
    </row>
    <row r="12" ht="50" customHeight="1">
      <c r="A12" s="17" t="inlineStr">
        <is>
          <t>A-08</t>
        </is>
      </c>
      <c r="B12" s="22" t="inlineStr">
        <is>
          <t>Solution System</t>
        </is>
      </c>
      <c r="C12" s="22" t="inlineStr">
        <is>
          <t>Sistema financiero y de facturación en línea, instalado en los equipos y administrado por proveedor</t>
        </is>
      </c>
      <c r="D12" s="17" t="n">
        <v>3</v>
      </c>
      <c r="E12" s="17" t="n">
        <v>3</v>
      </c>
      <c r="F12" s="17" t="n">
        <v>3</v>
      </c>
      <c r="G12" s="17">
        <f>SUM(D12:F12)</f>
        <v/>
      </c>
      <c r="H12" s="17" t="inlineStr">
        <is>
          <t>Crítica</t>
        </is>
      </c>
      <c r="I12" s="22" t="inlineStr">
        <is>
          <t>Dirección Administrativa y Financiera</t>
        </is>
      </c>
    </row>
    <row r="13" ht="50" customHeight="1">
      <c r="A13" s="17" t="inlineStr">
        <is>
          <t>A-09</t>
        </is>
      </c>
      <c r="B13" s="22" t="inlineStr">
        <is>
          <t>CCTV y DVR</t>
        </is>
      </c>
      <c r="C13" s="22" t="inlineStr">
        <is>
          <t>Cámaras conectadas a la red y grabador con acceso de varios roles</t>
        </is>
      </c>
      <c r="D13" s="17" t="n">
        <v>2</v>
      </c>
      <c r="E13" s="17" t="n">
        <v>2</v>
      </c>
      <c r="F13" s="17" t="n">
        <v>2</v>
      </c>
      <c r="G13" s="17">
        <f>SUM(D13:F13)</f>
        <v/>
      </c>
      <c r="H13" s="17" t="inlineStr">
        <is>
          <t>Media</t>
        </is>
      </c>
      <c r="I13" s="22" t="inlineStr">
        <is>
          <t>Gerencia / Dirección Administrativa y Financiera</t>
        </is>
      </c>
    </row>
    <row r="14" ht="50" customHeight="1">
      <c r="A14" s="17" t="inlineStr">
        <is>
          <t>A-10</t>
        </is>
      </c>
      <c r="B14" s="22" t="inlineStr">
        <is>
          <t>Hosting y copias web</t>
        </is>
      </c>
      <c r="C14" s="22" t="inlineStr">
        <is>
          <t>Servicio externo que aloja sitio, correos y respaldos del hosting</t>
        </is>
      </c>
      <c r="D14" s="17" t="n">
        <v>3</v>
      </c>
      <c r="E14" s="17" t="n">
        <v>3</v>
      </c>
      <c r="F14" s="17" t="n">
        <v>3</v>
      </c>
      <c r="G14" s="17">
        <f>SUM(D14:F14)</f>
        <v/>
      </c>
      <c r="H14" s="17" t="inlineStr">
        <is>
          <t>Crítica</t>
        </is>
      </c>
      <c r="I14" s="22" t="inlineStr">
        <is>
          <t>Dirección Administrativa y Financiera / TI</t>
        </is>
      </c>
    </row>
    <row r="15" ht="50" customHeight="1">
      <c r="A15" s="17" t="inlineStr">
        <is>
          <t>A-11</t>
        </is>
      </c>
      <c r="B15" s="22" t="inlineStr">
        <is>
          <t>Servicios tecnológicos de terceros</t>
        </is>
      </c>
      <c r="C15" s="22" t="inlineStr">
        <is>
          <t>Computar S.A.S., Movistar, Hosting Latinoamérica y proveedor de Solution System</t>
        </is>
      </c>
      <c r="D15" s="17" t="n">
        <v>2</v>
      </c>
      <c r="E15" s="17" t="n">
        <v>3</v>
      </c>
      <c r="F15" s="17" t="n">
        <v>3</v>
      </c>
      <c r="G15" s="17">
        <f>SUM(D15:F15)</f>
        <v/>
      </c>
      <c r="H15" s="17" t="inlineStr">
        <is>
          <t>Alta</t>
        </is>
      </c>
      <c r="I15" s="22" t="inlineStr">
        <is>
          <t>Dirección Administrativa y Financiera</t>
        </is>
      </c>
    </row>
    <row r="16" ht="50" customHeight="1">
      <c r="A16" s="17" t="inlineStr">
        <is>
          <t>A-12</t>
        </is>
      </c>
      <c r="B16" s="22" t="inlineStr">
        <is>
          <t>Identidades y credenciales</t>
        </is>
      </c>
      <c r="C16" s="22" t="inlineStr">
        <is>
          <t>Contraseñas de Windows, correos, hosting, routers, sistema financiero y DVR</t>
        </is>
      </c>
      <c r="D16" s="17" t="n">
        <v>3</v>
      </c>
      <c r="E16" s="17" t="n">
        <v>3</v>
      </c>
      <c r="F16" s="17" t="n">
        <v>3</v>
      </c>
      <c r="G16" s="17">
        <f>SUM(D16:F16)</f>
        <v/>
      </c>
      <c r="H16" s="17" t="inlineStr">
        <is>
          <t>Crítica</t>
        </is>
      </c>
      <c r="I16" s="22" t="inlineStr">
        <is>
          <t>Dirección Administrativa y Financiera / TI</t>
        </is>
      </c>
    </row>
  </sheetData>
  <autoFilter ref="A4:I16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&amp;C&amp;8 Promueve Más S.A.S. | Vigencia 2026 |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10" customWidth="1" min="2" max="2"/>
    <col width="22" customWidth="1" min="3" max="3"/>
    <col width="20" customWidth="1" min="4" max="4"/>
    <col width="38" customWidth="1" min="5" max="5"/>
    <col width="42" customWidth="1" min="6" max="6"/>
    <col width="38" customWidth="1" min="7" max="7"/>
    <col width="28" customWidth="1" min="8" max="8"/>
    <col width="11" customWidth="1" min="9" max="9"/>
    <col width="11" customWidth="1" min="10" max="10"/>
    <col width="12" customWidth="1" min="11" max="11"/>
    <col width="14" customWidth="1" min="12" max="12"/>
    <col width="45" customWidth="1" min="13" max="13"/>
    <col width="18" customWidth="1" min="14" max="14"/>
    <col width="10" customWidth="1" min="15" max="15"/>
    <col width="10" customWidth="1" min="16" max="16"/>
    <col width="12" customWidth="1" min="17" max="17"/>
    <col width="11" customWidth="1" min="18" max="18"/>
    <col width="11" customWidth="1" min="19" max="19"/>
    <col width="12" customWidth="1" min="20" max="20"/>
    <col width="14" customWidth="1" min="21" max="21"/>
    <col width="20" customWidth="1" min="22" max="22"/>
    <col width="28" customWidth="1" min="23" max="23"/>
    <col width="12" customWidth="1" min="24" max="24"/>
    <col width="14" customWidth="1" min="25" max="25"/>
    <col width="16" customWidth="1" min="26" max="26"/>
  </cols>
  <sheetData>
    <row r="1" ht="28" customHeight="1">
      <c r="A1" s="1" t="inlineStr">
        <is>
          <t>MATRIZ DE RIESGOS INFORMÁTICOS</t>
        </is>
      </c>
    </row>
    <row r="2" ht="22" customHeight="1">
      <c r="A2" s="2" t="inlineStr">
        <is>
          <t>Valoración inherente, controles existentes y valoración residual – Corte julio de 2026</t>
        </is>
      </c>
    </row>
    <row r="4" ht="32" customHeight="1">
      <c r="A4" s="15" t="inlineStr">
        <is>
          <t>ID</t>
        </is>
      </c>
      <c r="B4" s="15" t="inlineStr">
        <is>
          <t>Activo ID</t>
        </is>
      </c>
      <c r="C4" s="15" t="inlineStr">
        <is>
          <t>Activo / proceso</t>
        </is>
      </c>
      <c r="D4" s="15" t="inlineStr">
        <is>
          <t>Categoría</t>
        </is>
      </c>
      <c r="E4" s="15" t="inlineStr">
        <is>
          <t>Riesgo identificado</t>
        </is>
      </c>
      <c r="F4" s="15" t="inlineStr">
        <is>
          <t>Causa</t>
        </is>
      </c>
      <c r="G4" s="15" t="inlineStr">
        <is>
          <t>Consecuencia</t>
        </is>
      </c>
      <c r="H4" s="15" t="inlineStr">
        <is>
          <t>Responsable del riesgo</t>
        </is>
      </c>
      <c r="I4" s="15" t="inlineStr">
        <is>
          <t>P inherente</t>
        </is>
      </c>
      <c r="J4" s="15" t="inlineStr">
        <is>
          <t>I inherente</t>
        </is>
      </c>
      <c r="K4" s="15" t="inlineStr">
        <is>
          <t>Puntaje inherente</t>
        </is>
      </c>
      <c r="L4" s="15" t="inlineStr">
        <is>
          <t>Nivel inherente</t>
        </is>
      </c>
      <c r="M4" s="15" t="inlineStr">
        <is>
          <t>Controles existentes</t>
        </is>
      </c>
      <c r="N4" s="15" t="inlineStr">
        <is>
          <t>Tipo de control</t>
        </is>
      </c>
      <c r="O4" s="15" t="inlineStr">
        <is>
          <t>Diseño %</t>
        </is>
      </c>
      <c r="P4" s="15" t="inlineStr">
        <is>
          <t>Ejecución %</t>
        </is>
      </c>
      <c r="Q4" s="15" t="inlineStr">
        <is>
          <t>Efectividad %</t>
        </is>
      </c>
      <c r="R4" s="15" t="inlineStr">
        <is>
          <t>P residual</t>
        </is>
      </c>
      <c r="S4" s="15" t="inlineStr">
        <is>
          <t>I residual</t>
        </is>
      </c>
      <c r="T4" s="15" t="inlineStr">
        <is>
          <t>Puntaje residual</t>
        </is>
      </c>
      <c r="U4" s="15" t="inlineStr">
        <is>
          <t>Nivel residual</t>
        </is>
      </c>
      <c r="V4" s="15" t="inlineStr">
        <is>
          <t>Tratamiento</t>
        </is>
      </c>
      <c r="W4" s="15" t="inlineStr">
        <is>
          <t>Criterio / meta</t>
        </is>
      </c>
      <c r="X4" s="15" t="inlineStr">
        <is>
          <t>Frecuencia</t>
        </is>
      </c>
      <c r="Y4" s="15" t="inlineStr">
        <is>
          <t>Próxima revisión</t>
        </is>
      </c>
      <c r="Z4" s="15" t="inlineStr">
        <is>
          <t>Estado</t>
        </is>
      </c>
    </row>
    <row r="5" ht="78" customHeight="1">
      <c r="A5" s="17" t="inlineStr">
        <is>
          <t>R-01</t>
        </is>
      </c>
      <c r="B5" s="17" t="inlineStr">
        <is>
          <t>A-01</t>
        </is>
      </c>
      <c r="C5" s="22" t="inlineStr">
        <is>
          <t>Equipos de cómputo</t>
        </is>
      </c>
      <c r="D5" s="22" t="inlineStr">
        <is>
          <t>Control de acceso</t>
        </is>
      </c>
      <c r="E5" s="22" t="inlineStr">
        <is>
          <t>Acceso no autorizado a la información de los equipos</t>
        </is>
      </c>
      <c r="F5" s="22" t="inlineStr">
        <is>
          <t>Algunos equipos no tienen contraseña; otras claves son básicas, nunca se cambian y son conocidas por varios trabajadores.</t>
        </is>
      </c>
      <c r="G5" s="22" t="inlineStr">
        <is>
          <t>Alteración, pérdida o divulgación de información institucional.</t>
        </is>
      </c>
      <c r="H5" s="22" t="inlineStr">
        <is>
          <t>Dirección Administrativa y Financiera / TI</t>
        </is>
      </c>
      <c r="I5" s="17" t="n">
        <v>5</v>
      </c>
      <c r="J5" s="17" t="n">
        <v>4</v>
      </c>
      <c r="K5" s="17">
        <f>I5*J5</f>
        <v/>
      </c>
      <c r="L5" s="17">
        <f>IF(K5&gt;=17,"Extremo",IF(K5&gt;=10,"Alto",IF(K5&gt;=5,"Moderado","Bajo")))</f>
        <v/>
      </c>
      <c r="M5" s="22" t="inlineStr">
        <is>
          <t>Contraseña en algunos equipos y cambio de credenciales cuando una persona se retira.</t>
        </is>
      </c>
      <c r="N5" s="17" t="inlineStr">
        <is>
          <t>Preventivo</t>
        </is>
      </c>
      <c r="O5" s="17" t="n">
        <v>25</v>
      </c>
      <c r="P5" s="17" t="n">
        <v>20</v>
      </c>
      <c r="Q5" s="17">
        <f>AVERAGE(O5:P5)</f>
        <v/>
      </c>
      <c r="R5" s="17" t="n">
        <v>4</v>
      </c>
      <c r="S5" s="17" t="n">
        <v>4</v>
      </c>
      <c r="T5" s="17">
        <f>R5*S5</f>
        <v/>
      </c>
      <c r="U5" s="17">
        <f>IF(T5&gt;=17,"Extremo",IF(T5&gt;=10,"Alto",IF(T5&gt;=5,"Moderado","Bajo")))</f>
        <v/>
      </c>
      <c r="V5" s="17" t="inlineStr">
        <is>
          <t>Reducir</t>
        </is>
      </c>
      <c r="W5" s="22" t="inlineStr">
        <is>
          <t>Residual máximo Moderado (≤9)</t>
        </is>
      </c>
      <c r="X5" s="17" t="inlineStr">
        <is>
          <t>Trimestral</t>
        </is>
      </c>
      <c r="Y5" s="29" t="n">
        <v>46295</v>
      </c>
      <c r="Z5" s="17" t="inlineStr">
        <is>
          <t>Abierto</t>
        </is>
      </c>
    </row>
    <row r="6" ht="78" customHeight="1">
      <c r="A6" s="17" t="inlineStr">
        <is>
          <t>R-02</t>
        </is>
      </c>
      <c r="B6" s="17" t="inlineStr">
        <is>
          <t>A-01</t>
        </is>
      </c>
      <c r="C6" s="22" t="inlineStr">
        <is>
          <t>Equipos de cómputo</t>
        </is>
      </c>
      <c r="D6" s="22" t="inlineStr">
        <is>
          <t>Software</t>
        </is>
      </c>
      <c r="E6" s="22" t="inlineStr">
        <is>
          <t>Instalación de software no autorizado o malicioso</t>
        </is>
      </c>
      <c r="F6" s="22" t="inlineStr">
        <is>
          <t>Los usuarios tienen permisos para instalar cualquier aplicación y no existe una cuenta administrativa controlada por TI.</t>
        </is>
      </c>
      <c r="G6" s="22" t="inlineStr">
        <is>
          <t>Malware, ransomware, pérdida de información o uso de software sin licencia.</t>
        </is>
      </c>
      <c r="H6" s="22" t="inlineStr">
        <is>
          <t>TI</t>
        </is>
      </c>
      <c r="I6" s="17" t="n">
        <v>4</v>
      </c>
      <c r="J6" s="17" t="n">
        <v>4</v>
      </c>
      <c r="K6" s="17">
        <f>I6*J6</f>
        <v/>
      </c>
      <c r="L6" s="17">
        <f>IF(K6&gt;=17,"Extremo",IF(K6&gt;=10,"Alto",IF(K6&gt;=5,"Moderado","Bajo")))</f>
        <v/>
      </c>
      <c r="M6" s="22" t="inlineStr">
        <is>
          <t>Microsoft Defender y soporte presencial del proveedor cuando se requiere.</t>
        </is>
      </c>
      <c r="N6" s="17" t="inlineStr">
        <is>
          <t>Preventivo</t>
        </is>
      </c>
      <c r="O6" s="17" t="n">
        <v>20</v>
      </c>
      <c r="P6" s="17" t="n">
        <v>30</v>
      </c>
      <c r="Q6" s="17">
        <f>AVERAGE(O6:P6)</f>
        <v/>
      </c>
      <c r="R6" s="17" t="n">
        <v>4</v>
      </c>
      <c r="S6" s="17" t="n">
        <v>4</v>
      </c>
      <c r="T6" s="17">
        <f>R6*S6</f>
        <v/>
      </c>
      <c r="U6" s="17">
        <f>IF(T6&gt;=17,"Extremo",IF(T6&gt;=10,"Alto",IF(T6&gt;=5,"Moderado","Bajo")))</f>
        <v/>
      </c>
      <c r="V6" s="17" t="inlineStr">
        <is>
          <t>Reducir</t>
        </is>
      </c>
      <c r="W6" s="22" t="inlineStr">
        <is>
          <t>Residual máximo Moderado (≤9)</t>
        </is>
      </c>
      <c r="X6" s="17" t="inlineStr">
        <is>
          <t>Trimestral</t>
        </is>
      </c>
      <c r="Y6" s="29" t="n">
        <v>46295</v>
      </c>
      <c r="Z6" s="17" t="inlineStr">
        <is>
          <t>Abierto</t>
        </is>
      </c>
    </row>
    <row r="7" ht="78" customHeight="1">
      <c r="A7" s="17" t="inlineStr">
        <is>
          <t>R-03</t>
        </is>
      </c>
      <c r="B7" s="17" t="inlineStr">
        <is>
          <t>A-01</t>
        </is>
      </c>
      <c r="C7" s="22" t="inlineStr">
        <is>
          <t>Equipos de cómputo</t>
        </is>
      </c>
      <c r="D7" s="22" t="inlineStr">
        <is>
          <t>Medios removibles</t>
        </is>
      </c>
      <c r="E7" s="22" t="inlineStr">
        <is>
          <t>Fuga de información o infección mediante USB</t>
        </is>
      </c>
      <c r="F7" s="22" t="inlineStr">
        <is>
          <t>Los puertos están habilitados en todos los equipos aunque solo tres personas requieren medios removibles.</t>
        </is>
      </c>
      <c r="G7" s="22" t="inlineStr">
        <is>
          <t>Extracción no autorizada de datos o infección de equipos.</t>
        </is>
      </c>
      <c r="H7" s="22" t="inlineStr">
        <is>
          <t>TI</t>
        </is>
      </c>
      <c r="I7" s="17" t="n">
        <v>3</v>
      </c>
      <c r="J7" s="17" t="n">
        <v>4</v>
      </c>
      <c r="K7" s="17">
        <f>I7*J7</f>
        <v/>
      </c>
      <c r="L7" s="17">
        <f>IF(K7&gt;=17,"Extremo",IF(K7&gt;=10,"Alto",IF(K7&gt;=5,"Moderado","Bajo")))</f>
        <v/>
      </c>
      <c r="M7" s="22" t="inlineStr">
        <is>
          <t>Restricción informal de uso a aproximadamente tres personas.</t>
        </is>
      </c>
      <c r="N7" s="17" t="inlineStr">
        <is>
          <t>Preventivo</t>
        </is>
      </c>
      <c r="O7" s="17" t="n">
        <v>25</v>
      </c>
      <c r="P7" s="17" t="n">
        <v>20</v>
      </c>
      <c r="Q7" s="17">
        <f>AVERAGE(O7:P7)</f>
        <v/>
      </c>
      <c r="R7" s="17" t="n">
        <v>3</v>
      </c>
      <c r="S7" s="17" t="n">
        <v>4</v>
      </c>
      <c r="T7" s="17">
        <f>R7*S7</f>
        <v/>
      </c>
      <c r="U7" s="17">
        <f>IF(T7&gt;=17,"Extremo",IF(T7&gt;=10,"Alto",IF(T7&gt;=5,"Moderado","Bajo")))</f>
        <v/>
      </c>
      <c r="V7" s="17" t="inlineStr">
        <is>
          <t>Reducir</t>
        </is>
      </c>
      <c r="W7" s="22" t="inlineStr">
        <is>
          <t>Residual Bajo (≤4)</t>
        </is>
      </c>
      <c r="X7" s="17" t="inlineStr">
        <is>
          <t>Trimestral</t>
        </is>
      </c>
      <c r="Y7" s="29" t="n">
        <v>46295</v>
      </c>
      <c r="Z7" s="17" t="inlineStr">
        <is>
          <t>Abierto</t>
        </is>
      </c>
    </row>
    <row r="8" ht="78" customHeight="1">
      <c r="A8" s="17" t="inlineStr">
        <is>
          <t>R-04</t>
        </is>
      </c>
      <c r="B8" s="17" t="inlineStr">
        <is>
          <t>A-01</t>
        </is>
      </c>
      <c r="C8" s="22" t="inlineStr">
        <is>
          <t>Equipos de cómputo</t>
        </is>
      </c>
      <c r="D8" s="22" t="inlineStr">
        <is>
          <t>Malware</t>
        </is>
      </c>
      <c r="E8" s="22" t="inlineStr">
        <is>
          <t>Infección por virus, malware o ransomware</t>
        </is>
      </c>
      <c r="F8" s="22" t="inlineStr">
        <is>
          <t>No existe antivirus corporativo administrado centralmente.</t>
        </is>
      </c>
      <c r="G8" s="22" t="inlineStr">
        <is>
          <t>Cifrado o pérdida de información e indisponibilidad de equipos.</t>
        </is>
      </c>
      <c r="H8" s="22" t="inlineStr">
        <is>
          <t>Dirección Administrativa y Financiera / TI</t>
        </is>
      </c>
      <c r="I8" s="17" t="n">
        <v>4</v>
      </c>
      <c r="J8" s="17" t="n">
        <v>5</v>
      </c>
      <c r="K8" s="17">
        <f>I8*J8</f>
        <v/>
      </c>
      <c r="L8" s="17">
        <f>IF(K8&gt;=17,"Extremo",IF(K8&gt;=10,"Alto",IF(K8&gt;=5,"Moderado","Bajo")))</f>
        <v/>
      </c>
      <c r="M8" s="22" t="inlineStr">
        <is>
          <t>Microsoft Defender activo por defecto en Windows.</t>
        </is>
      </c>
      <c r="N8" s="17" t="inlineStr">
        <is>
          <t>Preventivo / Detectivo</t>
        </is>
      </c>
      <c r="O8" s="17" t="n">
        <v>55</v>
      </c>
      <c r="P8" s="17" t="n">
        <v>55</v>
      </c>
      <c r="Q8" s="17">
        <f>AVERAGE(O8:P8)</f>
        <v/>
      </c>
      <c r="R8" s="17" t="n">
        <v>3</v>
      </c>
      <c r="S8" s="17" t="n">
        <v>5</v>
      </c>
      <c r="T8" s="17">
        <f>R8*S8</f>
        <v/>
      </c>
      <c r="U8" s="17">
        <f>IF(T8&gt;=17,"Extremo",IF(T8&gt;=10,"Alto",IF(T8&gt;=5,"Moderado","Bajo")))</f>
        <v/>
      </c>
      <c r="V8" s="17" t="inlineStr">
        <is>
          <t>Reducir</t>
        </is>
      </c>
      <c r="W8" s="22" t="inlineStr">
        <is>
          <t>Residual máximo Moderado (≤9)</t>
        </is>
      </c>
      <c r="X8" s="17" t="inlineStr">
        <is>
          <t>Trimestral</t>
        </is>
      </c>
      <c r="Y8" s="29" t="n">
        <v>46295</v>
      </c>
      <c r="Z8" s="17" t="inlineStr">
        <is>
          <t>En tratamiento</t>
        </is>
      </c>
    </row>
    <row r="9" ht="78" customHeight="1">
      <c r="A9" s="17" t="inlineStr">
        <is>
          <t>R-05</t>
        </is>
      </c>
      <c r="B9" s="17" t="inlineStr">
        <is>
          <t>A-02</t>
        </is>
      </c>
      <c r="C9" s="22" t="inlineStr">
        <is>
          <t>Red institucional</t>
        </is>
      </c>
      <c r="D9" s="22" t="inlineStr">
        <is>
          <t>Seguridad de red</t>
        </is>
      </c>
      <c r="E9" s="22" t="inlineStr">
        <is>
          <t>Intrusión externa o acceso no autorizado a la red</t>
        </is>
      </c>
      <c r="F9" s="22" t="inlineStr">
        <is>
          <t>No se cuenta con firewall institucional propio ni se ha documentado la configuración de seguridad del proveedor.</t>
        </is>
      </c>
      <c r="G9" s="22" t="inlineStr">
        <is>
          <t>Acceso no autorizado, interceptación de tráfico o afectación de servicios.</t>
        </is>
      </c>
      <c r="H9" s="22" t="inlineStr">
        <is>
          <t>Dirección Administrativa y Financiera / TI</t>
        </is>
      </c>
      <c r="I9" s="17" t="n">
        <v>3</v>
      </c>
      <c r="J9" s="17" t="n">
        <v>5</v>
      </c>
      <c r="K9" s="17">
        <f>I9*J9</f>
        <v/>
      </c>
      <c r="L9" s="17">
        <f>IF(K9&gt;=17,"Extremo",IF(K9&gt;=10,"Alto",IF(K9&gt;=5,"Moderado","Bajo")))</f>
        <v/>
      </c>
      <c r="M9" s="22" t="inlineStr">
        <is>
          <t>Router y canal empresarial administrados por Movistar.</t>
        </is>
      </c>
      <c r="N9" s="17" t="inlineStr">
        <is>
          <t>Preventivo</t>
        </is>
      </c>
      <c r="O9" s="17" t="n">
        <v>40</v>
      </c>
      <c r="P9" s="17" t="n">
        <v>40</v>
      </c>
      <c r="Q9" s="17">
        <f>AVERAGE(O9:P9)</f>
        <v/>
      </c>
      <c r="R9" s="17" t="n">
        <v>3</v>
      </c>
      <c r="S9" s="17" t="n">
        <v>5</v>
      </c>
      <c r="T9" s="17">
        <f>R9*S9</f>
        <v/>
      </c>
      <c r="U9" s="17">
        <f>IF(T9&gt;=17,"Extremo",IF(T9&gt;=10,"Alto",IF(T9&gt;=5,"Moderado","Bajo")))</f>
        <v/>
      </c>
      <c r="V9" s="17" t="inlineStr">
        <is>
          <t>Reducir / Compartir</t>
        </is>
      </c>
      <c r="W9" s="22" t="inlineStr">
        <is>
          <t>Residual máximo Moderado (≤9)</t>
        </is>
      </c>
      <c r="X9" s="17" t="inlineStr">
        <is>
          <t>Trimestral</t>
        </is>
      </c>
      <c r="Y9" s="29" t="n">
        <v>46295</v>
      </c>
      <c r="Z9" s="17" t="inlineStr">
        <is>
          <t>Abierto</t>
        </is>
      </c>
    </row>
    <row r="10" ht="78" customHeight="1">
      <c r="A10" s="17" t="inlineStr">
        <is>
          <t>R-06</t>
        </is>
      </c>
      <c r="B10" s="17" t="inlineStr">
        <is>
          <t>A-03</t>
        </is>
      </c>
      <c r="C10" s="22" t="inlineStr">
        <is>
          <t>Información institucional y respaldos</t>
        </is>
      </c>
      <c r="D10" s="22" t="inlineStr">
        <is>
          <t>Copias de seguridad</t>
        </is>
      </c>
      <c r="E10" s="22" t="inlineStr">
        <is>
          <t>Pérdida definitiva de información</t>
        </is>
      </c>
      <c r="F10" s="22" t="inlineStr">
        <is>
          <t>El respaldo se realiza manualmente una vez al mes, equipo por equipo y en un único disco externo.</t>
        </is>
      </c>
      <c r="G10" s="22" t="inlineStr">
        <is>
          <t>Pérdida de información generada entre copias o pérdida simultánea del original y el respaldo.</t>
        </is>
      </c>
      <c r="H10" s="22" t="inlineStr">
        <is>
          <t>TI</t>
        </is>
      </c>
      <c r="I10" s="17" t="n">
        <v>4</v>
      </c>
      <c r="J10" s="17" t="n">
        <v>5</v>
      </c>
      <c r="K10" s="17">
        <f>I10*J10</f>
        <v/>
      </c>
      <c r="L10" s="17">
        <f>IF(K10&gt;=17,"Extremo",IF(K10&gt;=10,"Alto",IF(K10&gt;=5,"Moderado","Bajo")))</f>
        <v/>
      </c>
      <c r="M10" s="22" t="inlineStr">
        <is>
          <t>Backup manual mensual en disco externo.</t>
        </is>
      </c>
      <c r="N10" s="17" t="inlineStr">
        <is>
          <t>Correctivo</t>
        </is>
      </c>
      <c r="O10" s="17" t="n">
        <v>60</v>
      </c>
      <c r="P10" s="17" t="n">
        <v>60</v>
      </c>
      <c r="Q10" s="17">
        <f>AVERAGE(O10:P10)</f>
        <v/>
      </c>
      <c r="R10" s="17" t="n">
        <v>3</v>
      </c>
      <c r="S10" s="17" t="n">
        <v>5</v>
      </c>
      <c r="T10" s="17">
        <f>R10*S10</f>
        <v/>
      </c>
      <c r="U10" s="17">
        <f>IF(T10&gt;=17,"Extremo",IF(T10&gt;=10,"Alto",IF(T10&gt;=5,"Moderado","Bajo")))</f>
        <v/>
      </c>
      <c r="V10" s="17" t="inlineStr">
        <is>
          <t>Reducir</t>
        </is>
      </c>
      <c r="W10" s="22" t="inlineStr">
        <is>
          <t>Residual máximo Moderado (≤9)</t>
        </is>
      </c>
      <c r="X10" s="17" t="inlineStr">
        <is>
          <t>Mensual</t>
        </is>
      </c>
      <c r="Y10" s="29" t="n">
        <v>46265</v>
      </c>
      <c r="Z10" s="17" t="inlineStr">
        <is>
          <t>En tratamiento</t>
        </is>
      </c>
    </row>
    <row r="11" ht="78" customHeight="1">
      <c r="A11" s="17" t="inlineStr">
        <is>
          <t>R-07</t>
        </is>
      </c>
      <c r="B11" s="17" t="inlineStr">
        <is>
          <t>A-01</t>
        </is>
      </c>
      <c r="C11" s="22" t="inlineStr">
        <is>
          <t>Equipos de cómputo</t>
        </is>
      </c>
      <c r="D11" s="22" t="inlineStr">
        <is>
          <t>Continuidad</t>
        </is>
      </c>
      <c r="E11" s="22" t="inlineStr">
        <is>
          <t>Daño de equipos o archivos por cortes eléctricos</t>
        </is>
      </c>
      <c r="F11" s="22" t="inlineStr">
        <is>
          <t>Los equipos se apagan abruptamente porque no existen UPS.</t>
        </is>
      </c>
      <c r="G11" s="22" t="inlineStr">
        <is>
          <t>Daño de hardware, corrupción de archivos y pérdida de trabajo.</t>
        </is>
      </c>
      <c r="H11" s="22" t="inlineStr">
        <is>
          <t>Dirección Administrativa y Financiera</t>
        </is>
      </c>
      <c r="I11" s="17" t="n">
        <v>3</v>
      </c>
      <c r="J11" s="17" t="n">
        <v>3</v>
      </c>
      <c r="K11" s="17">
        <f>I11*J11</f>
        <v/>
      </c>
      <c r="L11" s="17">
        <f>IF(K11&gt;=17,"Extremo",IF(K11&gt;=10,"Alto",IF(K11&gt;=5,"Moderado","Bajo")))</f>
        <v/>
      </c>
      <c r="M11" s="22" t="inlineStr">
        <is>
          <t>Protección eléctrica básica no documentada.</t>
        </is>
      </c>
      <c r="N11" s="17" t="inlineStr">
        <is>
          <t>Preventivo</t>
        </is>
      </c>
      <c r="O11" s="17" t="n">
        <v>10</v>
      </c>
      <c r="P11" s="17" t="n">
        <v>10</v>
      </c>
      <c r="Q11" s="17">
        <f>AVERAGE(O11:P11)</f>
        <v/>
      </c>
      <c r="R11" s="17" t="n">
        <v>3</v>
      </c>
      <c r="S11" s="17" t="n">
        <v>3</v>
      </c>
      <c r="T11" s="17">
        <f>R11*S11</f>
        <v/>
      </c>
      <c r="U11" s="17">
        <f>IF(T11&gt;=17,"Extremo",IF(T11&gt;=10,"Alto",IF(T11&gt;=5,"Moderado","Bajo")))</f>
        <v/>
      </c>
      <c r="V11" s="17" t="inlineStr">
        <is>
          <t>Reducir</t>
        </is>
      </c>
      <c r="W11" s="22" t="inlineStr">
        <is>
          <t>Residual Bajo o Moderado (≤6)</t>
        </is>
      </c>
      <c r="X11" s="17" t="inlineStr">
        <is>
          <t>Semestral</t>
        </is>
      </c>
      <c r="Y11" s="29" t="n">
        <v>46371</v>
      </c>
      <c r="Z11" s="17" t="inlineStr">
        <is>
          <t>Abierto</t>
        </is>
      </c>
    </row>
    <row r="12" ht="78" customHeight="1">
      <c r="A12" s="17" t="inlineStr">
        <is>
          <t>R-08</t>
        </is>
      </c>
      <c r="B12" s="17" t="inlineStr">
        <is>
          <t>A-11</t>
        </is>
      </c>
      <c r="C12" s="22" t="inlineStr">
        <is>
          <t>Servicios tecnológicos de terceros</t>
        </is>
      </c>
      <c r="D12" s="22" t="inlineStr">
        <is>
          <t>Proveedores</t>
        </is>
      </c>
      <c r="E12" s="22" t="inlineStr">
        <is>
          <t>Falla de hardware e indisponibilidad prolongada</t>
        </is>
      </c>
      <c r="F12" s="22" t="inlineStr">
        <is>
          <t>No se ejecutan mantenimientos preventivos programados sobre equipos arrendados.</t>
        </is>
      </c>
      <c r="G12" s="22" t="inlineStr">
        <is>
          <t>Interrupción de labores y fallas recurrentes.</t>
        </is>
      </c>
      <c r="H12" s="22" t="inlineStr">
        <is>
          <t>Dirección Administrativa y Financiera</t>
        </is>
      </c>
      <c r="I12" s="17" t="n">
        <v>3</v>
      </c>
      <c r="J12" s="17" t="n">
        <v>3</v>
      </c>
      <c r="K12" s="17">
        <f>I12*J12</f>
        <v/>
      </c>
      <c r="L12" s="17">
        <f>IF(K12&gt;=17,"Extremo",IF(K12&gt;=10,"Alto",IF(K12&gt;=5,"Moderado","Bajo")))</f>
        <v/>
      </c>
      <c r="M12" s="22" t="inlineStr">
        <is>
          <t>Computar S.A.S. atiende fallas correctivas en menos de 48 horas y de forma presencial.</t>
        </is>
      </c>
      <c r="N12" s="17" t="inlineStr">
        <is>
          <t>Correctivo</t>
        </is>
      </c>
      <c r="O12" s="17" t="n">
        <v>70</v>
      </c>
      <c r="P12" s="17" t="n">
        <v>70</v>
      </c>
      <c r="Q12" s="17">
        <f>AVERAGE(O12:P12)</f>
        <v/>
      </c>
      <c r="R12" s="17" t="n">
        <v>2</v>
      </c>
      <c r="S12" s="17" t="n">
        <v>3</v>
      </c>
      <c r="T12" s="17">
        <f>R12*S12</f>
        <v/>
      </c>
      <c r="U12" s="17">
        <f>IF(T12&gt;=17,"Extremo",IF(T12&gt;=10,"Alto",IF(T12&gt;=5,"Moderado","Bajo")))</f>
        <v/>
      </c>
      <c r="V12" s="17" t="inlineStr">
        <is>
          <t>Reducir / Compartir</t>
        </is>
      </c>
      <c r="W12" s="22" t="inlineStr">
        <is>
          <t>Residual Bajo (≤4)</t>
        </is>
      </c>
      <c r="X12" s="17" t="inlineStr">
        <is>
          <t>Trimestral</t>
        </is>
      </c>
      <c r="Y12" s="29" t="n">
        <v>46295</v>
      </c>
      <c r="Z12" s="17" t="inlineStr">
        <is>
          <t>En tratamiento</t>
        </is>
      </c>
    </row>
    <row r="13" ht="78" customHeight="1">
      <c r="A13" s="17" t="inlineStr">
        <is>
          <t>R-09</t>
        </is>
      </c>
      <c r="B13" s="17" t="inlineStr">
        <is>
          <t>A-03</t>
        </is>
      </c>
      <c r="C13" s="22" t="inlineStr">
        <is>
          <t>Información institucional y respaldos</t>
        </is>
      </c>
      <c r="D13" s="22" t="inlineStr">
        <is>
          <t>Gestión de información</t>
        </is>
      </c>
      <c r="E13" s="22" t="inlineStr">
        <is>
          <t>Tratamiento inadecuado según sensibilidad</t>
        </is>
      </c>
      <c r="F13" s="22" t="inlineStr">
        <is>
          <t>No se han definido niveles de clasificación de la información.</t>
        </is>
      </c>
      <c r="G13" s="22" t="inlineStr">
        <is>
          <t>Exposición de información confidencial o controles insuficientes.</t>
        </is>
      </c>
      <c r="H13" s="22" t="inlineStr">
        <is>
          <t>Dirección Administrativa y Financiera</t>
        </is>
      </c>
      <c r="I13" s="17" t="n">
        <v>4</v>
      </c>
      <c r="J13" s="17" t="n">
        <v>4</v>
      </c>
      <c r="K13" s="17">
        <f>I13*J13</f>
        <v/>
      </c>
      <c r="L13" s="17">
        <f>IF(K13&gt;=17,"Extremo",IF(K13&gt;=10,"Alto",IF(K13&gt;=5,"Moderado","Bajo")))</f>
        <v/>
      </c>
      <c r="M13" s="22" t="inlineStr">
        <is>
          <t>La Política de Seguridad contiene principios de confidencialidad, pendiente de adopción formal.</t>
        </is>
      </c>
      <c r="N13" s="17" t="inlineStr">
        <is>
          <t>Preventivo</t>
        </is>
      </c>
      <c r="O13" s="17" t="n">
        <v>30</v>
      </c>
      <c r="P13" s="17" t="n">
        <v>20</v>
      </c>
      <c r="Q13" s="17">
        <f>AVERAGE(O13:P13)</f>
        <v/>
      </c>
      <c r="R13" s="17" t="n">
        <v>4</v>
      </c>
      <c r="S13" s="17" t="n">
        <v>4</v>
      </c>
      <c r="T13" s="17">
        <f>R13*S13</f>
        <v/>
      </c>
      <c r="U13" s="17">
        <f>IF(T13&gt;=17,"Extremo",IF(T13&gt;=10,"Alto",IF(T13&gt;=5,"Moderado","Bajo")))</f>
        <v/>
      </c>
      <c r="V13" s="17" t="inlineStr">
        <is>
          <t>Reducir</t>
        </is>
      </c>
      <c r="W13" s="22" t="inlineStr">
        <is>
          <t>Residual máximo Moderado (≤9)</t>
        </is>
      </c>
      <c r="X13" s="17" t="inlineStr">
        <is>
          <t>Semestral</t>
        </is>
      </c>
      <c r="Y13" s="29" t="n">
        <v>46371</v>
      </c>
      <c r="Z13" s="17" t="inlineStr">
        <is>
          <t>Abierto</t>
        </is>
      </c>
    </row>
    <row r="14" ht="78" customHeight="1">
      <c r="A14" s="17" t="inlineStr">
        <is>
          <t>R-10</t>
        </is>
      </c>
      <c r="B14" s="17" t="inlineStr">
        <is>
          <t>A-04</t>
        </is>
      </c>
      <c r="C14" s="22" t="inlineStr">
        <is>
          <t>Documentos físicos</t>
        </is>
      </c>
      <c r="D14" s="22" t="inlineStr">
        <is>
          <t>Seguridad física</t>
        </is>
      </c>
      <c r="E14" s="22" t="inlineStr">
        <is>
          <t>Acceso no autorizado a documentos físicos sensibles</t>
        </is>
      </c>
      <c r="F14" s="22" t="inlineStr">
        <is>
          <t>Contratos y documentos financieros permanecen expuestos y cualquier persona puede verlos.</t>
        </is>
      </c>
      <c r="G14" s="22" t="inlineStr">
        <is>
          <t>Divulgación, pérdida o alteración de documentos.</t>
        </is>
      </c>
      <c r="H14" s="22" t="inlineStr">
        <is>
          <t>Responsables de cada proceso</t>
        </is>
      </c>
      <c r="I14" s="17" t="n">
        <v>5</v>
      </c>
      <c r="J14" s="17" t="n">
        <v>4</v>
      </c>
      <c r="K14" s="17">
        <f>I14*J14</f>
        <v/>
      </c>
      <c r="L14" s="17">
        <f>IF(K14&gt;=17,"Extremo",IF(K14&gt;=10,"Alto",IF(K14&gt;=5,"Moderado","Bajo")))</f>
        <v/>
      </c>
      <c r="M14" s="22" t="inlineStr">
        <is>
          <t>Confidencialidad contractual general.</t>
        </is>
      </c>
      <c r="N14" s="17" t="inlineStr">
        <is>
          <t>Preventivo</t>
        </is>
      </c>
      <c r="O14" s="17" t="n">
        <v>10</v>
      </c>
      <c r="P14" s="17" t="n">
        <v>10</v>
      </c>
      <c r="Q14" s="17">
        <f>AVERAGE(O14:P14)</f>
        <v/>
      </c>
      <c r="R14" s="17" t="n">
        <v>5</v>
      </c>
      <c r="S14" s="17" t="n">
        <v>4</v>
      </c>
      <c r="T14" s="17">
        <f>R14*S14</f>
        <v/>
      </c>
      <c r="U14" s="17">
        <f>IF(T14&gt;=17,"Extremo",IF(T14&gt;=10,"Alto",IF(T14&gt;=5,"Moderado","Bajo")))</f>
        <v/>
      </c>
      <c r="V14" s="17" t="inlineStr">
        <is>
          <t>Reducir</t>
        </is>
      </c>
      <c r="W14" s="22" t="inlineStr">
        <is>
          <t>Residual máximo Moderado (≤9)</t>
        </is>
      </c>
      <c r="X14" s="17" t="inlineStr">
        <is>
          <t>Mensual</t>
        </is>
      </c>
      <c r="Y14" s="29" t="n">
        <v>46265</v>
      </c>
      <c r="Z14" s="17" t="inlineStr">
        <is>
          <t>Abierto</t>
        </is>
      </c>
    </row>
    <row r="15" ht="78" customHeight="1">
      <c r="A15" s="17" t="inlineStr">
        <is>
          <t>R-11</t>
        </is>
      </c>
      <c r="B15" s="17" t="inlineStr">
        <is>
          <t>A-01</t>
        </is>
      </c>
      <c r="C15" s="22" t="inlineStr">
        <is>
          <t>Equipos de cómputo</t>
        </is>
      </c>
      <c r="D15" s="22" t="inlineStr">
        <is>
          <t>Control de acceso</t>
        </is>
      </c>
      <c r="E15" s="22" t="inlineStr">
        <is>
          <t>Acceso a información por sesiones desbloqueadas</t>
        </is>
      </c>
      <c r="F15" s="22" t="inlineStr">
        <is>
          <t>Los usuarios dejan los equipos desbloqueados al ausentarse, incluso durante el almuerzo.</t>
        </is>
      </c>
      <c r="G15" s="22" t="inlineStr">
        <is>
          <t>Consulta, modificación o eliminación de información por terceros.</t>
        </is>
      </c>
      <c r="H15" s="22" t="inlineStr">
        <is>
          <t>TI / Todos los usuarios</t>
        </is>
      </c>
      <c r="I15" s="17" t="n">
        <v>5</v>
      </c>
      <c r="J15" s="17" t="n">
        <v>4</v>
      </c>
      <c r="K15" s="17">
        <f>I15*J15</f>
        <v/>
      </c>
      <c r="L15" s="17">
        <f>IF(K15&gt;=17,"Extremo",IF(K15&gt;=10,"Alto",IF(K15&gt;=5,"Moderado","Bajo")))</f>
        <v/>
      </c>
      <c r="M15" s="22" t="inlineStr">
        <is>
          <t>Los equipos se apagan al terminar la jornada.</t>
        </is>
      </c>
      <c r="N15" s="17" t="inlineStr">
        <is>
          <t>Preventivo</t>
        </is>
      </c>
      <c r="O15" s="17" t="n">
        <v>10</v>
      </c>
      <c r="P15" s="17" t="n">
        <v>20</v>
      </c>
      <c r="Q15" s="17">
        <f>AVERAGE(O15:P15)</f>
        <v/>
      </c>
      <c r="R15" s="17" t="n">
        <v>5</v>
      </c>
      <c r="S15" s="17" t="n">
        <v>4</v>
      </c>
      <c r="T15" s="17">
        <f>R15*S15</f>
        <v/>
      </c>
      <c r="U15" s="17">
        <f>IF(T15&gt;=17,"Extremo",IF(T15&gt;=10,"Alto",IF(T15&gt;=5,"Moderado","Bajo")))</f>
        <v/>
      </c>
      <c r="V15" s="17" t="inlineStr">
        <is>
          <t>Reducir</t>
        </is>
      </c>
      <c r="W15" s="22" t="inlineStr">
        <is>
          <t>Residual Bajo (≤4)</t>
        </is>
      </c>
      <c r="X15" s="17" t="inlineStr">
        <is>
          <t>Mensual</t>
        </is>
      </c>
      <c r="Y15" s="29" t="n">
        <v>46265</v>
      </c>
      <c r="Z15" s="17" t="inlineStr">
        <is>
          <t>Abierto</t>
        </is>
      </c>
    </row>
    <row r="16" ht="78" customHeight="1">
      <c r="A16" s="17" t="inlineStr">
        <is>
          <t>R-12</t>
        </is>
      </c>
      <c r="B16" s="17" t="inlineStr">
        <is>
          <t>A-05</t>
        </is>
      </c>
      <c r="C16" s="22" t="inlineStr">
        <is>
          <t>Correo institucional y cPanel</t>
        </is>
      </c>
      <c r="D16" s="22" t="inlineStr">
        <is>
          <t>Correo electrónico</t>
        </is>
      </c>
      <c r="E16" s="22" t="inlineStr">
        <is>
          <t>Suplantación o acceso no autorizado a correos</t>
        </is>
      </c>
      <c r="F16" s="22" t="inlineStr">
        <is>
          <t>Los buzones solo usan contraseña y algunos se vinculan a celulares personales.</t>
        </is>
      </c>
      <c r="G16" s="22" t="inlineStr">
        <is>
          <t>Phishing, suplantación y filtración de información.</t>
        </is>
      </c>
      <c r="H16" s="22" t="inlineStr">
        <is>
          <t>TI</t>
        </is>
      </c>
      <c r="I16" s="17" t="n">
        <v>4</v>
      </c>
      <c r="J16" s="17" t="n">
        <v>5</v>
      </c>
      <c r="K16" s="17">
        <f>I16*J16</f>
        <v/>
      </c>
      <c r="L16" s="17">
        <f>IF(K16&gt;=17,"Extremo",IF(K16&gt;=10,"Alto",IF(K16&gt;=5,"Moderado","Bajo")))</f>
        <v/>
      </c>
      <c r="M16" s="22" t="inlineStr">
        <is>
          <t>cPanel tiene doble factor; TI asigna y administra las credenciales de correo.</t>
        </is>
      </c>
      <c r="N16" s="17" t="inlineStr">
        <is>
          <t>Preventivo</t>
        </is>
      </c>
      <c r="O16" s="17" t="n">
        <v>35</v>
      </c>
      <c r="P16" s="17" t="n">
        <v>30</v>
      </c>
      <c r="Q16" s="17">
        <f>AVERAGE(O16:P16)</f>
        <v/>
      </c>
      <c r="R16" s="17" t="n">
        <v>3</v>
      </c>
      <c r="S16" s="17" t="n">
        <v>5</v>
      </c>
      <c r="T16" s="17">
        <f>R16*S16</f>
        <v/>
      </c>
      <c r="U16" s="17">
        <f>IF(T16&gt;=17,"Extremo",IF(T16&gt;=10,"Alto",IF(T16&gt;=5,"Moderado","Bajo")))</f>
        <v/>
      </c>
      <c r="V16" s="17" t="inlineStr">
        <is>
          <t>Reducir</t>
        </is>
      </c>
      <c r="W16" s="22" t="inlineStr">
        <is>
          <t>Residual máximo Moderado (≤9)</t>
        </is>
      </c>
      <c r="X16" s="17" t="inlineStr">
        <is>
          <t>Trimestral</t>
        </is>
      </c>
      <c r="Y16" s="29" t="n">
        <v>46295</v>
      </c>
      <c r="Z16" s="17" t="inlineStr">
        <is>
          <t>Abierto</t>
        </is>
      </c>
    </row>
    <row r="17" ht="78" customHeight="1">
      <c r="A17" s="17" t="inlineStr">
        <is>
          <t>R-13</t>
        </is>
      </c>
      <c r="B17" s="17" t="inlineStr">
        <is>
          <t>A-09</t>
        </is>
      </c>
      <c r="C17" s="22" t="inlineStr">
        <is>
          <t>CCTV y DVR</t>
        </is>
      </c>
      <c r="D17" s="22" t="inlineStr">
        <is>
          <t>Privacidad</t>
        </is>
      </c>
      <c r="E17" s="22" t="inlineStr">
        <is>
          <t>Uso injustificado de las cámaras de seguridad</t>
        </is>
      </c>
      <c r="F17" s="22" t="inlineStr">
        <is>
          <t>El acceso incluye a Talento Humano sin justificación funcional documentada.</t>
        </is>
      </c>
      <c r="G17" s="22" t="inlineStr">
        <is>
          <t>Uso de videovigilancia para fines distintos a seguridad y afectación a la privacidad.</t>
        </is>
      </c>
      <c r="H17" s="22" t="inlineStr">
        <is>
          <t>Gerencia / Dirección Administrativa y Financiera</t>
        </is>
      </c>
      <c r="I17" s="17" t="n">
        <v>3</v>
      </c>
      <c r="J17" s="17" t="n">
        <v>3</v>
      </c>
      <c r="K17" s="17">
        <f>I17*J17</f>
        <v/>
      </c>
      <c r="L17" s="17">
        <f>IF(K17&gt;=17,"Extremo",IF(K17&gt;=10,"Alto",IF(K17&gt;=5,"Moderado","Bajo")))</f>
        <v/>
      </c>
      <c r="M17" s="22" t="inlineStr">
        <is>
          <t>Acceso limitado a Gerencia, Analista Ejecutiva, Dirección Administrativa y Financiera, Talento Humano y TI.</t>
        </is>
      </c>
      <c r="N17" s="17" t="inlineStr">
        <is>
          <t>Preventivo</t>
        </is>
      </c>
      <c r="O17" s="17" t="n">
        <v>50</v>
      </c>
      <c r="P17" s="17" t="n">
        <v>45</v>
      </c>
      <c r="Q17" s="17">
        <f>AVERAGE(O17:P17)</f>
        <v/>
      </c>
      <c r="R17" s="17" t="n">
        <v>2</v>
      </c>
      <c r="S17" s="17" t="n">
        <v>3</v>
      </c>
      <c r="T17" s="17">
        <f>R17*S17</f>
        <v/>
      </c>
      <c r="U17" s="17">
        <f>IF(T17&gt;=17,"Extremo",IF(T17&gt;=10,"Alto",IF(T17&gt;=5,"Moderado","Bajo")))</f>
        <v/>
      </c>
      <c r="V17" s="17" t="inlineStr">
        <is>
          <t>Reducir</t>
        </is>
      </c>
      <c r="W17" s="22" t="inlineStr">
        <is>
          <t>Residual Bajo (≤4)</t>
        </is>
      </c>
      <c r="X17" s="17" t="inlineStr">
        <is>
          <t>Semestral</t>
        </is>
      </c>
      <c r="Y17" s="29" t="n">
        <v>46371</v>
      </c>
      <c r="Z17" s="17" t="inlineStr">
        <is>
          <t>En tratamiento</t>
        </is>
      </c>
    </row>
    <row r="18" ht="78" customHeight="1">
      <c r="A18" s="17" t="inlineStr">
        <is>
          <t>R-14</t>
        </is>
      </c>
      <c r="B18" s="17" t="inlineStr">
        <is>
          <t>A-02</t>
        </is>
      </c>
      <c r="C18" s="22" t="inlineStr">
        <is>
          <t>Red institucional</t>
        </is>
      </c>
      <c r="D18" s="22" t="inlineStr">
        <is>
          <t>Segmentación</t>
        </is>
      </c>
      <c r="E18" s="22" t="inlineStr">
        <is>
          <t>Acceso de visitantes a recursos internos</t>
        </is>
      </c>
      <c r="F18" s="22" t="inlineStr">
        <is>
          <t>No se ha confirmado técnicamente que la red de visitantes esté aislada de las redes principales.</t>
        </is>
      </c>
      <c r="G18" s="22" t="inlineStr">
        <is>
          <t>Acceso de terceros a dispositivos o servicios internos.</t>
        </is>
      </c>
      <c r="H18" s="22" t="inlineStr">
        <is>
          <t>TI / Movistar</t>
        </is>
      </c>
      <c r="I18" s="17" t="n">
        <v>3</v>
      </c>
      <c r="J18" s="17" t="n">
        <v>4</v>
      </c>
      <c r="K18" s="17">
        <f>I18*J18</f>
        <v/>
      </c>
      <c r="L18" s="17">
        <f>IF(K18&gt;=17,"Extremo",IF(K18&gt;=10,"Alto",IF(K18&gt;=5,"Moderado","Bajo")))</f>
        <v/>
      </c>
      <c r="M18" s="22" t="inlineStr">
        <is>
          <t>Existe un SSID separado para visitantes.</t>
        </is>
      </c>
      <c r="N18" s="17" t="inlineStr">
        <is>
          <t>Preventivo</t>
        </is>
      </c>
      <c r="O18" s="17" t="n">
        <v>35</v>
      </c>
      <c r="P18" s="17" t="n">
        <v>35</v>
      </c>
      <c r="Q18" s="17">
        <f>AVERAGE(O18:P18)</f>
        <v/>
      </c>
      <c r="R18" s="17" t="n">
        <v>3</v>
      </c>
      <c r="S18" s="17" t="n">
        <v>4</v>
      </c>
      <c r="T18" s="17">
        <f>R18*S18</f>
        <v/>
      </c>
      <c r="U18" s="17">
        <f>IF(T18&gt;=17,"Extremo",IF(T18&gt;=10,"Alto",IF(T18&gt;=5,"Moderado","Bajo")))</f>
        <v/>
      </c>
      <c r="V18" s="17" t="inlineStr">
        <is>
          <t>Reducir / Compartir</t>
        </is>
      </c>
      <c r="W18" s="22" t="inlineStr">
        <is>
          <t>Residual Bajo (≤4)</t>
        </is>
      </c>
      <c r="X18" s="17" t="inlineStr">
        <is>
          <t>Trimestral</t>
        </is>
      </c>
      <c r="Y18" s="29" t="n">
        <v>46295</v>
      </c>
      <c r="Z18" s="17" t="inlineStr">
        <is>
          <t>Abierto</t>
        </is>
      </c>
    </row>
    <row r="19" ht="78" customHeight="1">
      <c r="A19" s="17" t="inlineStr">
        <is>
          <t>R-15</t>
        </is>
      </c>
      <c r="B19" s="17" t="inlineStr">
        <is>
          <t>A-12</t>
        </is>
      </c>
      <c r="C19" s="22" t="inlineStr">
        <is>
          <t>Identidades y credenciales</t>
        </is>
      </c>
      <c r="D19" s="22" t="inlineStr">
        <is>
          <t>Cultura de seguridad</t>
        </is>
      </c>
      <c r="E19" s="22" t="inlineStr">
        <is>
          <t>Incidentes por desconocimiento de buenas prácticas</t>
        </is>
      </c>
      <c r="F19" s="22" t="inlineStr">
        <is>
          <t>El personal en misión recibe poca instrucción y no existe protocolo formal de inducción tecnológica.</t>
        </is>
      </c>
      <c r="G19" s="22" t="inlineStr">
        <is>
          <t>Uso inadecuado de equipos, credenciales y datos.</t>
        </is>
      </c>
      <c r="H19" s="22" t="inlineStr">
        <is>
          <t>Dirección Administrativa y Financiera / Talento Humano</t>
        </is>
      </c>
      <c r="I19" s="17" t="n">
        <v>4</v>
      </c>
      <c r="J19" s="17" t="n">
        <v>4</v>
      </c>
      <c r="K19" s="17">
        <f>I19*J19</f>
        <v/>
      </c>
      <c r="L19" s="17">
        <f>IF(K19&gt;=17,"Extremo",IF(K19&gt;=10,"Alto",IF(K19&gt;=5,"Moderado","Bajo")))</f>
        <v/>
      </c>
      <c r="M19" s="22" t="inlineStr">
        <is>
          <t>La empresa temporal contempla compromiso de confidencialidad.</t>
        </is>
      </c>
      <c r="N19" s="17" t="inlineStr">
        <is>
          <t>Preventivo</t>
        </is>
      </c>
      <c r="O19" s="17" t="n">
        <v>35</v>
      </c>
      <c r="P19" s="17" t="n">
        <v>30</v>
      </c>
      <c r="Q19" s="17">
        <f>AVERAGE(O19:P19)</f>
        <v/>
      </c>
      <c r="R19" s="17" t="n">
        <v>3</v>
      </c>
      <c r="S19" s="17" t="n">
        <v>4</v>
      </c>
      <c r="T19" s="17">
        <f>R19*S19</f>
        <v/>
      </c>
      <c r="U19" s="17">
        <f>IF(T19&gt;=17,"Extremo",IF(T19&gt;=10,"Alto",IF(T19&gt;=5,"Moderado","Bajo")))</f>
        <v/>
      </c>
      <c r="V19" s="17" t="inlineStr">
        <is>
          <t>Reducir</t>
        </is>
      </c>
      <c r="W19" s="22" t="inlineStr">
        <is>
          <t>Residual máximo Moderado (≤9)</t>
        </is>
      </c>
      <c r="X19" s="17" t="inlineStr">
        <is>
          <t>Semestral</t>
        </is>
      </c>
      <c r="Y19" s="29" t="n">
        <v>46371</v>
      </c>
      <c r="Z19" s="17" t="inlineStr">
        <is>
          <t>Abierto</t>
        </is>
      </c>
    </row>
    <row r="20" ht="78" customHeight="1">
      <c r="A20" s="17" t="inlineStr">
        <is>
          <t>R-16</t>
        </is>
      </c>
      <c r="B20" s="17" t="inlineStr">
        <is>
          <t>A-03</t>
        </is>
      </c>
      <c r="C20" s="22" t="inlineStr">
        <is>
          <t>Información institucional y respaldos</t>
        </is>
      </c>
      <c r="D20" s="22" t="inlineStr">
        <is>
          <t>Gestión de incidentes</t>
        </is>
      </c>
      <c r="E20" s="22" t="inlineStr">
        <is>
          <t>Respuesta tardía o inadecuada ante incidentes</t>
        </is>
      </c>
      <c r="F20" s="22" t="inlineStr">
        <is>
          <t>No existe procedimiento aprobado; los eventos se resuelven sobre la marcha.</t>
        </is>
      </c>
      <c r="G20" s="22" t="inlineStr">
        <is>
          <t>Aumento del impacto, pérdida de evidencia y recuperación tardía.</t>
        </is>
      </c>
      <c r="H20" s="22" t="inlineStr">
        <is>
          <t>Dirección Administrativa y Financiera / TI</t>
        </is>
      </c>
      <c r="I20" s="17" t="n">
        <v>3</v>
      </c>
      <c r="J20" s="17" t="n">
        <v>4</v>
      </c>
      <c r="K20" s="17">
        <f>I20*J20</f>
        <v/>
      </c>
      <c r="L20" s="17">
        <f>IF(K20&gt;=17,"Extremo",IF(K20&gt;=10,"Alto",IF(K20&gt;=5,"Moderado","Bajo")))</f>
        <v/>
      </c>
      <c r="M20" s="22" t="inlineStr">
        <is>
          <t>Atención informal y contacto directo con proveedores.</t>
        </is>
      </c>
      <c r="N20" s="17" t="inlineStr">
        <is>
          <t>Correctivo</t>
        </is>
      </c>
      <c r="O20" s="17" t="n">
        <v>25</v>
      </c>
      <c r="P20" s="17" t="n">
        <v>25</v>
      </c>
      <c r="Q20" s="17">
        <f>AVERAGE(O20:P20)</f>
        <v/>
      </c>
      <c r="R20" s="17" t="n">
        <v>3</v>
      </c>
      <c r="S20" s="17" t="n">
        <v>4</v>
      </c>
      <c r="T20" s="17">
        <f>R20*S20</f>
        <v/>
      </c>
      <c r="U20" s="17">
        <f>IF(T20&gt;=17,"Extremo",IF(T20&gt;=10,"Alto",IF(T20&gt;=5,"Moderado","Bajo")))</f>
        <v/>
      </c>
      <c r="V20" s="17" t="inlineStr">
        <is>
          <t>Reducir</t>
        </is>
      </c>
      <c r="W20" s="22" t="inlineStr">
        <is>
          <t>Residual máximo Moderado (≤9)</t>
        </is>
      </c>
      <c r="X20" s="17" t="inlineStr">
        <is>
          <t>Trimestral</t>
        </is>
      </c>
      <c r="Y20" s="29" t="n">
        <v>46295</v>
      </c>
      <c r="Z20" s="17" t="inlineStr">
        <is>
          <t>Abierto</t>
        </is>
      </c>
    </row>
    <row r="21" ht="78" customHeight="1">
      <c r="A21" s="17" t="inlineStr">
        <is>
          <t>R-17</t>
        </is>
      </c>
      <c r="B21" s="17" t="inlineStr">
        <is>
          <t>A-12</t>
        </is>
      </c>
      <c r="C21" s="22" t="inlineStr">
        <is>
          <t>Identidades y credenciales</t>
        </is>
      </c>
      <c r="D21" s="22" t="inlineStr">
        <is>
          <t>Continuidad de accesos</t>
        </is>
      </c>
      <c r="E21" s="22" t="inlineStr">
        <is>
          <t>Interrupción por ausencia de personal clave</t>
        </is>
      </c>
      <c r="F21" s="22" t="inlineStr">
        <is>
          <t>Las credenciales críticas se concentran en la directora y el responsable de TI.</t>
        </is>
      </c>
      <c r="G21" s="22" t="inlineStr">
        <is>
          <t>Imposibilidad de administrar servicios durante ausencia, retiro o emergencia.</t>
        </is>
      </c>
      <c r="H21" s="22" t="inlineStr">
        <is>
          <t>Dirección Administrativa y Financiera</t>
        </is>
      </c>
      <c r="I21" s="17" t="n">
        <v>3</v>
      </c>
      <c r="J21" s="17" t="n">
        <v>4</v>
      </c>
      <c r="K21" s="17">
        <f>I21*J21</f>
        <v/>
      </c>
      <c r="L21" s="17">
        <f>IF(K21&gt;=17,"Extremo",IF(K21&gt;=10,"Alto",IF(K21&gt;=5,"Moderado","Bajo")))</f>
        <v/>
      </c>
      <c r="M21" s="22" t="inlineStr">
        <is>
          <t>Dos personas tienen acceso al hosting.</t>
        </is>
      </c>
      <c r="N21" s="17" t="inlineStr">
        <is>
          <t>Preventivo</t>
        </is>
      </c>
      <c r="O21" s="17" t="n">
        <v>35</v>
      </c>
      <c r="P21" s="17" t="n">
        <v>35</v>
      </c>
      <c r="Q21" s="17">
        <f>AVERAGE(O21:P21)</f>
        <v/>
      </c>
      <c r="R21" s="17" t="n">
        <v>3</v>
      </c>
      <c r="S21" s="17" t="n">
        <v>4</v>
      </c>
      <c r="T21" s="17">
        <f>R21*S21</f>
        <v/>
      </c>
      <c r="U21" s="17">
        <f>IF(T21&gt;=17,"Extremo",IF(T21&gt;=10,"Alto",IF(T21&gt;=5,"Moderado","Bajo")))</f>
        <v/>
      </c>
      <c r="V21" s="17" t="inlineStr">
        <is>
          <t>Reducir</t>
        </is>
      </c>
      <c r="W21" s="22" t="inlineStr">
        <is>
          <t>Residual Bajo (≤4)</t>
        </is>
      </c>
      <c r="X21" s="17" t="inlineStr">
        <is>
          <t>Trimestral</t>
        </is>
      </c>
      <c r="Y21" s="29" t="n">
        <v>46295</v>
      </c>
      <c r="Z21" s="17" t="inlineStr">
        <is>
          <t>Abierto</t>
        </is>
      </c>
    </row>
    <row r="22" ht="78" customHeight="1">
      <c r="A22" s="17" t="inlineStr">
        <is>
          <t>R-18</t>
        </is>
      </c>
      <c r="B22" s="17" t="inlineStr">
        <is>
          <t>A-08</t>
        </is>
      </c>
      <c r="C22" s="22" t="inlineStr">
        <is>
          <t>Solution System</t>
        </is>
      </c>
      <c r="D22" s="22" t="inlineStr">
        <is>
          <t>Aplicaciones financieras</t>
        </is>
      </c>
      <c r="E22" s="22" t="inlineStr">
        <is>
          <t>Acceso no autorizado a información financiera</t>
        </is>
      </c>
      <c r="F22" s="22" t="inlineStr">
        <is>
          <t>El sistema contiene datos financieros sensibles y depende de credenciales de tres usuarios.</t>
        </is>
      </c>
      <c r="G22" s="22" t="inlineStr">
        <is>
          <t>Fraude, alteración o divulgación de información financiera.</t>
        </is>
      </c>
      <c r="H22" s="22" t="inlineStr">
        <is>
          <t>Dirección Administrativa y Financiera</t>
        </is>
      </c>
      <c r="I22" s="17" t="n">
        <v>2</v>
      </c>
      <c r="J22" s="17" t="n">
        <v>5</v>
      </c>
      <c r="K22" s="17">
        <f>I22*J22</f>
        <v/>
      </c>
      <c r="L22" s="17">
        <f>IF(K22&gt;=17,"Extremo",IF(K22&gt;=10,"Alto",IF(K22&gt;=5,"Moderado","Bajo")))</f>
        <v/>
      </c>
      <c r="M22" s="22" t="inlineStr">
        <is>
          <t>Credenciales individuales, PIN enviado al correo y roles diferenciados; datos en línea administrados por el proveedor.</t>
        </is>
      </c>
      <c r="N22" s="17" t="inlineStr">
        <is>
          <t>Preventivo</t>
        </is>
      </c>
      <c r="O22" s="17" t="n">
        <v>80</v>
      </c>
      <c r="P22" s="17" t="n">
        <v>75</v>
      </c>
      <c r="Q22" s="17">
        <f>AVERAGE(O22:P22)</f>
        <v/>
      </c>
      <c r="R22" s="17" t="n">
        <v>1</v>
      </c>
      <c r="S22" s="17" t="n">
        <v>5</v>
      </c>
      <c r="T22" s="17">
        <f>R22*S22</f>
        <v/>
      </c>
      <c r="U22" s="17">
        <f>IF(T22&gt;=17,"Extremo",IF(T22&gt;=10,"Alto",IF(T22&gt;=5,"Moderado","Bajo")))</f>
        <v/>
      </c>
      <c r="V22" s="17" t="inlineStr">
        <is>
          <t>Reducir / Compartir</t>
        </is>
      </c>
      <c r="W22" s="22" t="inlineStr">
        <is>
          <t>Residual Moderado (≤5)</t>
        </is>
      </c>
      <c r="X22" s="17" t="inlineStr">
        <is>
          <t>Trimestral</t>
        </is>
      </c>
      <c r="Y22" s="29" t="n">
        <v>46295</v>
      </c>
      <c r="Z22" s="17" t="inlineStr">
        <is>
          <t>Controlado</t>
        </is>
      </c>
    </row>
    <row r="23" ht="78" customHeight="1">
      <c r="A23" s="17" t="inlineStr">
        <is>
          <t>R-19</t>
        </is>
      </c>
      <c r="B23" s="17" t="inlineStr">
        <is>
          <t>A-06</t>
        </is>
      </c>
      <c r="C23" s="22" t="inlineStr">
        <is>
          <t>Sitio web WordPress</t>
        </is>
      </c>
      <c r="D23" s="22" t="inlineStr">
        <is>
          <t>Aplicaciones web</t>
        </is>
      </c>
      <c r="E23" s="22" t="inlineStr">
        <is>
          <t>Compromiso del sitio WordPress</t>
        </is>
      </c>
      <c r="F23" s="22" t="inlineStr">
        <is>
          <t>Vulnerabilidades en WordPress, Elementor o plugins; administración manual de actualizaciones.</t>
        </is>
      </c>
      <c r="G23" s="22" t="inlineStr">
        <is>
          <t>Defacement, malware, indisponibilidad o afectación reputacional.</t>
        </is>
      </c>
      <c r="H23" s="22" t="inlineStr">
        <is>
          <t>TI</t>
        </is>
      </c>
      <c r="I23" s="17" t="n">
        <v>4</v>
      </c>
      <c r="J23" s="17" t="n">
        <v>4</v>
      </c>
      <c r="K23" s="17">
        <f>I23*J23</f>
        <v/>
      </c>
      <c r="L23" s="17">
        <f>IF(K23&gt;=17,"Extremo",IF(K23&gt;=10,"Alto",IF(K23&gt;=5,"Moderado","Bajo")))</f>
        <v/>
      </c>
      <c r="M23" s="22" t="inlineStr">
        <is>
          <t>SSL activo, plugins actualizados por TI y backup manual cada uno o dos meses.</t>
        </is>
      </c>
      <c r="N23" s="17" t="inlineStr">
        <is>
          <t>Preventivo / Correctivo</t>
        </is>
      </c>
      <c r="O23" s="17" t="n">
        <v>70</v>
      </c>
      <c r="P23" s="17" t="n">
        <v>65</v>
      </c>
      <c r="Q23" s="17">
        <f>AVERAGE(O23:P23)</f>
        <v/>
      </c>
      <c r="R23" s="17" t="n">
        <v>3</v>
      </c>
      <c r="S23" s="17" t="n">
        <v>4</v>
      </c>
      <c r="T23" s="17">
        <f>R23*S23</f>
        <v/>
      </c>
      <c r="U23" s="17">
        <f>IF(T23&gt;=17,"Extremo",IF(T23&gt;=10,"Alto",IF(T23&gt;=5,"Moderado","Bajo")))</f>
        <v/>
      </c>
      <c r="V23" s="17" t="inlineStr">
        <is>
          <t>Reducir</t>
        </is>
      </c>
      <c r="W23" s="22" t="inlineStr">
        <is>
          <t>Residual máximo Moderado (≤9)</t>
        </is>
      </c>
      <c r="X23" s="17" t="inlineStr">
        <is>
          <t>Mensual</t>
        </is>
      </c>
      <c r="Y23" s="29" t="n">
        <v>46265</v>
      </c>
      <c r="Z23" s="17" t="inlineStr">
        <is>
          <t>En tratamiento</t>
        </is>
      </c>
    </row>
    <row r="24" ht="78" customHeight="1">
      <c r="A24" s="17" t="inlineStr">
        <is>
          <t>R-20</t>
        </is>
      </c>
      <c r="B24" s="17" t="inlineStr">
        <is>
          <t>A-07</t>
        </is>
      </c>
      <c r="C24" s="22" t="inlineStr">
        <is>
          <t>Datos personales de PQRS</t>
        </is>
      </c>
      <c r="D24" s="22" t="inlineStr">
        <is>
          <t>Datos personales</t>
        </is>
      </c>
      <c r="E24" s="22" t="inlineStr">
        <is>
          <t>Divulgación o manejo inadecuado de datos de PQRS</t>
        </is>
      </c>
      <c r="F24" s="22" t="inlineStr">
        <is>
          <t>Los formularios remiten datos personales a un buzón y no está documentada la retención, acceso ni eliminación.</t>
        </is>
      </c>
      <c r="G24" s="22" t="inlineStr">
        <is>
          <t>Incumplimiento de protección de datos, afectación a titulares y reputación.</t>
        </is>
      </c>
      <c r="H24" s="22" t="inlineStr">
        <is>
          <t>Dirección Administrativa y Financiera / responsable PQRS</t>
        </is>
      </c>
      <c r="I24" s="17" t="n">
        <v>3</v>
      </c>
      <c r="J24" s="17" t="n">
        <v>5</v>
      </c>
      <c r="K24" s="17">
        <f>I24*J24</f>
        <v/>
      </c>
      <c r="L24" s="17">
        <f>IF(K24&gt;=17,"Extremo",IF(K24&gt;=10,"Alto",IF(K24&gt;=5,"Moderado","Bajo")))</f>
        <v/>
      </c>
      <c r="M24" s="22" t="inlineStr">
        <is>
          <t>Aviso de tratamiento de datos en la página y envío a correo corporativo.</t>
        </is>
      </c>
      <c r="N24" s="17" t="inlineStr">
        <is>
          <t>Preventivo</t>
        </is>
      </c>
      <c r="O24" s="17" t="n">
        <v>50</v>
      </c>
      <c r="P24" s="17" t="n">
        <v>45</v>
      </c>
      <c r="Q24" s="17">
        <f>AVERAGE(O24:P24)</f>
        <v/>
      </c>
      <c r="R24" s="17" t="n">
        <v>3</v>
      </c>
      <c r="S24" s="17" t="n">
        <v>5</v>
      </c>
      <c r="T24" s="17">
        <f>R24*S24</f>
        <v/>
      </c>
      <c r="U24" s="17">
        <f>IF(T24&gt;=17,"Extremo",IF(T24&gt;=10,"Alto",IF(T24&gt;=5,"Moderado","Bajo")))</f>
        <v/>
      </c>
      <c r="V24" s="17" t="inlineStr">
        <is>
          <t>Reducir</t>
        </is>
      </c>
      <c r="W24" s="22" t="inlineStr">
        <is>
          <t>Residual máximo Moderado (≤9)</t>
        </is>
      </c>
      <c r="X24" s="17" t="inlineStr">
        <is>
          <t>Trimestral</t>
        </is>
      </c>
      <c r="Y24" s="29" t="n">
        <v>46295</v>
      </c>
      <c r="Z24" s="17" t="inlineStr">
        <is>
          <t>Abierto</t>
        </is>
      </c>
    </row>
    <row r="25" ht="78" customHeight="1">
      <c r="A25" s="17" t="inlineStr">
        <is>
          <t>R-21</t>
        </is>
      </c>
      <c r="B25" s="17" t="inlineStr">
        <is>
          <t>A-10</t>
        </is>
      </c>
      <c r="C25" s="22" t="inlineStr">
        <is>
          <t>Hosting y copias web</t>
        </is>
      </c>
      <c r="D25" s="22" t="inlineStr">
        <is>
          <t>Continuidad de terceros</t>
        </is>
      </c>
      <c r="E25" s="22" t="inlineStr">
        <is>
          <t>Pérdida o indisponibilidad del hosting</t>
        </is>
      </c>
      <c r="F25" s="22" t="inlineStr">
        <is>
          <t>Falla, cierre o pérdida de datos por parte del proveedor externo.</t>
        </is>
      </c>
      <c r="G25" s="22" t="inlineStr">
        <is>
          <t>Indisponibilidad del sitio, correos y datos asociados.</t>
        </is>
      </c>
      <c r="H25" s="22" t="inlineStr">
        <is>
          <t>Dirección Administrativa y Financiera / TI</t>
        </is>
      </c>
      <c r="I25" s="17" t="n">
        <v>2</v>
      </c>
      <c r="J25" s="17" t="n">
        <v>4</v>
      </c>
      <c r="K25" s="17">
        <f>I25*J25</f>
        <v/>
      </c>
      <c r="L25" s="17">
        <f>IF(K25&gt;=17,"Extremo",IF(K25&gt;=10,"Alto",IF(K25&gt;=5,"Moderado","Bajo")))</f>
        <v/>
      </c>
      <c r="M25" s="22" t="inlineStr">
        <is>
          <t>Hosting Latinoamérica ofrece soporte y respaldo de backup.</t>
        </is>
      </c>
      <c r="N25" s="17" t="inlineStr">
        <is>
          <t>Preventivo / Correctivo</t>
        </is>
      </c>
      <c r="O25" s="17" t="n">
        <v>75</v>
      </c>
      <c r="P25" s="17" t="n">
        <v>75</v>
      </c>
      <c r="Q25" s="17">
        <f>AVERAGE(O25:P25)</f>
        <v/>
      </c>
      <c r="R25" s="17" t="n">
        <v>1</v>
      </c>
      <c r="S25" s="17" t="n">
        <v>4</v>
      </c>
      <c r="T25" s="17">
        <f>R25*S25</f>
        <v/>
      </c>
      <c r="U25" s="17">
        <f>IF(T25&gt;=17,"Extremo",IF(T25&gt;=10,"Alto",IF(T25&gt;=5,"Moderado","Bajo")))</f>
        <v/>
      </c>
      <c r="V25" s="17" t="inlineStr">
        <is>
          <t>Compartir / Reducir</t>
        </is>
      </c>
      <c r="W25" s="22" t="inlineStr">
        <is>
          <t>Residual Bajo (≤4)</t>
        </is>
      </c>
      <c r="X25" s="17" t="inlineStr">
        <is>
          <t>Semestral</t>
        </is>
      </c>
      <c r="Y25" s="29" t="n">
        <v>46371</v>
      </c>
      <c r="Z25" s="17" t="inlineStr">
        <is>
          <t>Controlado</t>
        </is>
      </c>
    </row>
    <row r="26" ht="78" customHeight="1">
      <c r="A26" s="17" t="inlineStr">
        <is>
          <t>R-22</t>
        </is>
      </c>
      <c r="B26" s="17" t="inlineStr">
        <is>
          <t>A-05</t>
        </is>
      </c>
      <c r="C26" s="22" t="inlineStr">
        <is>
          <t>Correo institucional y cPanel</t>
        </is>
      </c>
      <c r="D26" s="22" t="inlineStr">
        <is>
          <t>Gobierno de cuentas</t>
        </is>
      </c>
      <c r="E26" s="22" t="inlineStr">
        <is>
          <t>Pérdida de control sobre información en cuentas no administradas</t>
        </is>
      </c>
      <c r="F26" s="22" t="inlineStr">
        <is>
          <t>Parte del personal utiliza cuentas Gmail básicas o vinculadas a dispositivos personales fuera del panel corporativo.</t>
        </is>
      </c>
      <c r="G26" s="22" t="inlineStr">
        <is>
          <t>Pérdida de información al retiro, acceso no autorizado o falta de trazabilidad.</t>
        </is>
      </c>
      <c r="H26" s="22" t="inlineStr">
        <is>
          <t>Dirección Administrativa y Financiera / TI</t>
        </is>
      </c>
      <c r="I26" s="17" t="n">
        <v>4</v>
      </c>
      <c r="J26" s="17" t="n">
        <v>4</v>
      </c>
      <c r="K26" s="17">
        <f>I26*J26</f>
        <v/>
      </c>
      <c r="L26" s="17">
        <f>IF(K26&gt;=17,"Extremo",IF(K26&gt;=10,"Alto",IF(K26&gt;=5,"Moderado","Bajo")))</f>
        <v/>
      </c>
      <c r="M26" s="22" t="inlineStr">
        <is>
          <t>Cambio de credenciales cuando una persona se retira, cuando el acceso está bajo control institucional.</t>
        </is>
      </c>
      <c r="N26" s="17" t="inlineStr">
        <is>
          <t>Preventivo</t>
        </is>
      </c>
      <c r="O26" s="17" t="n">
        <v>20</v>
      </c>
      <c r="P26" s="17" t="n">
        <v>20</v>
      </c>
      <c r="Q26" s="17">
        <f>AVERAGE(O26:P26)</f>
        <v/>
      </c>
      <c r="R26" s="17" t="n">
        <v>4</v>
      </c>
      <c r="S26" s="17" t="n">
        <v>4</v>
      </c>
      <c r="T26" s="17">
        <f>R26*S26</f>
        <v/>
      </c>
      <c r="U26" s="17">
        <f>IF(T26&gt;=17,"Extremo",IF(T26&gt;=10,"Alto",IF(T26&gt;=5,"Moderado","Bajo")))</f>
        <v/>
      </c>
      <c r="V26" s="17" t="inlineStr">
        <is>
          <t>Reducir</t>
        </is>
      </c>
      <c r="W26" s="22" t="inlineStr">
        <is>
          <t>Residual máximo Moderado (≤9)</t>
        </is>
      </c>
      <c r="X26" s="17" t="inlineStr">
        <is>
          <t>Trimestral</t>
        </is>
      </c>
      <c r="Y26" s="29" t="n">
        <v>46295</v>
      </c>
      <c r="Z26" s="17" t="inlineStr">
        <is>
          <t>Abierto</t>
        </is>
      </c>
    </row>
    <row r="27" ht="78" customHeight="1">
      <c r="A27" s="17" t="inlineStr">
        <is>
          <t>R-23</t>
        </is>
      </c>
      <c r="B27" s="17" t="inlineStr">
        <is>
          <t>A-06</t>
        </is>
      </c>
      <c r="C27" s="22" t="inlineStr">
        <is>
          <t>Sitio web WordPress</t>
        </is>
      </c>
      <c r="D27" s="22" t="inlineStr">
        <is>
          <t>Monitoreo</t>
        </is>
      </c>
      <c r="E27" s="22" t="inlineStr">
        <is>
          <t>Ataques al sitio web no detectados oportunamente</t>
        </is>
      </c>
      <c r="F27" s="22" t="inlineStr">
        <is>
          <t>No existe procedimiento documentado ni registro trimestral de revisión de alertas, accesos y eventos.</t>
        </is>
      </c>
      <c r="G27" s="22" t="inlineStr">
        <is>
          <t>Persistencia del ataque, pérdida de información o indisponibilidad prolongada.</t>
        </is>
      </c>
      <c r="H27" s="22" t="inlineStr">
        <is>
          <t>TI</t>
        </is>
      </c>
      <c r="I27" s="17" t="n">
        <v>3</v>
      </c>
      <c r="J27" s="17" t="n">
        <v>4</v>
      </c>
      <c r="K27" s="17">
        <f>I27*J27</f>
        <v/>
      </c>
      <c r="L27" s="17">
        <f>IF(K27&gt;=17,"Extremo",IF(K27&gt;=10,"Alto",IF(K27&gt;=5,"Moderado","Bajo")))</f>
        <v/>
      </c>
      <c r="M27" s="22" t="inlineStr">
        <is>
          <t>Actualización manual de plugins y soporte del hosting.</t>
        </is>
      </c>
      <c r="N27" s="17" t="inlineStr">
        <is>
          <t>Detectivo</t>
        </is>
      </c>
      <c r="O27" s="17" t="n">
        <v>30</v>
      </c>
      <c r="P27" s="17" t="n">
        <v>30</v>
      </c>
      <c r="Q27" s="17">
        <f>AVERAGE(O27:P27)</f>
        <v/>
      </c>
      <c r="R27" s="17" t="n">
        <v>3</v>
      </c>
      <c r="S27" s="17" t="n">
        <v>4</v>
      </c>
      <c r="T27" s="17">
        <f>R27*S27</f>
        <v/>
      </c>
      <c r="U27" s="17">
        <f>IF(T27&gt;=17,"Extremo",IF(T27&gt;=10,"Alto",IF(T27&gt;=5,"Moderado","Bajo")))</f>
        <v/>
      </c>
      <c r="V27" s="17" t="inlineStr">
        <is>
          <t>Reducir</t>
        </is>
      </c>
      <c r="W27" s="22" t="inlineStr">
        <is>
          <t>Residual máximo Moderado (≤9)</t>
        </is>
      </c>
      <c r="X27" s="17" t="inlineStr">
        <is>
          <t>Trimestral</t>
        </is>
      </c>
      <c r="Y27" s="29" t="n">
        <v>46295</v>
      </c>
      <c r="Z27" s="17" t="inlineStr">
        <is>
          <t>Abierto</t>
        </is>
      </c>
    </row>
    <row r="28" ht="78" customHeight="1">
      <c r="A28" s="17" t="inlineStr">
        <is>
          <t>R-24</t>
        </is>
      </c>
      <c r="B28" s="17" t="inlineStr">
        <is>
          <t>A-01</t>
        </is>
      </c>
      <c r="C28" s="22" t="inlineStr">
        <is>
          <t>Equipos de cómputo</t>
        </is>
      </c>
      <c r="D28" s="22" t="inlineStr">
        <is>
          <t>Seguridad física</t>
        </is>
      </c>
      <c r="E28" s="22" t="inlineStr">
        <is>
          <t>Hurto o manipulación de equipos e información por terceros</t>
        </is>
      </c>
      <c r="F28" s="22" t="inlineStr">
        <is>
          <t>Durante el horario laboral la puerta permanece abierta para atención al público y existe circulación de visitantes.</t>
        </is>
      </c>
      <c r="G28" s="22" t="inlineStr">
        <is>
          <t>Pérdida de equipos, documentos o acceso a sesiones abiertas.</t>
        </is>
      </c>
      <c r="H28" s="22" t="inlineStr">
        <is>
          <t>Dirección Administrativa y Financiera / Todos los usuarios</t>
        </is>
      </c>
      <c r="I28" s="17" t="n">
        <v>4</v>
      </c>
      <c r="J28" s="17" t="n">
        <v>4</v>
      </c>
      <c r="K28" s="17">
        <f>I28*J28</f>
        <v/>
      </c>
      <c r="L28" s="17">
        <f>IF(K28&gt;=17,"Extremo",IF(K28&gt;=10,"Alto",IF(K28&gt;=5,"Moderado","Bajo")))</f>
        <v/>
      </c>
      <c r="M28" s="22" t="inlineStr">
        <is>
          <t>Alarma fuera de horario, llaves restringidas y CCTV.</t>
        </is>
      </c>
      <c r="N28" s="17" t="inlineStr">
        <is>
          <t>Preventivo / Detectivo</t>
        </is>
      </c>
      <c r="O28" s="17" t="n">
        <v>55</v>
      </c>
      <c r="P28" s="17" t="n">
        <v>50</v>
      </c>
      <c r="Q28" s="17">
        <f>AVERAGE(O28:P28)</f>
        <v/>
      </c>
      <c r="R28" s="17" t="n">
        <v>3</v>
      </c>
      <c r="S28" s="17" t="n">
        <v>4</v>
      </c>
      <c r="T28" s="17">
        <f>R28*S28</f>
        <v/>
      </c>
      <c r="U28" s="17">
        <f>IF(T28&gt;=17,"Extremo",IF(T28&gt;=10,"Alto",IF(T28&gt;=5,"Moderado","Bajo")))</f>
        <v/>
      </c>
      <c r="V28" s="17" t="inlineStr">
        <is>
          <t>Reducir</t>
        </is>
      </c>
      <c r="W28" s="22" t="inlineStr">
        <is>
          <t>Residual máximo Moderado (≤9)</t>
        </is>
      </c>
      <c r="X28" s="17" t="inlineStr">
        <is>
          <t>Trimestral</t>
        </is>
      </c>
      <c r="Y28" s="29" t="n">
        <v>46295</v>
      </c>
      <c r="Z28" s="17" t="inlineStr">
        <is>
          <t>En tratamiento</t>
        </is>
      </c>
    </row>
    <row r="29" ht="78" customHeight="1">
      <c r="A29" s="17" t="inlineStr">
        <is>
          <t>R-25</t>
        </is>
      </c>
      <c r="B29" s="17" t="inlineStr">
        <is>
          <t>A-11</t>
        </is>
      </c>
      <c r="C29" s="22" t="inlineStr">
        <is>
          <t>Servicios tecnológicos de terceros</t>
        </is>
      </c>
      <c r="D29" s="22" t="inlineStr">
        <is>
          <t>Ciclo de vida de activos</t>
        </is>
      </c>
      <c r="E29" s="22" t="inlineStr">
        <is>
          <t>Exposición de datos al devolver equipos arrendados</t>
        </is>
      </c>
      <c r="F29" s="22" t="inlineStr">
        <is>
          <t>No existe procedimiento documentado de borrado seguro o verificación antes de devolver o sustituir equipos.</t>
        </is>
      </c>
      <c r="G29" s="22" t="inlineStr">
        <is>
          <t>Recuperación de información institucional por terceros.</t>
        </is>
      </c>
      <c r="H29" s="22" t="inlineStr">
        <is>
          <t>TI / Computar S.A.S.</t>
        </is>
      </c>
      <c r="I29" s="17" t="n">
        <v>3</v>
      </c>
      <c r="J29" s="17" t="n">
        <v>4</v>
      </c>
      <c r="K29" s="17">
        <f>I29*J29</f>
        <v/>
      </c>
      <c r="L29" s="17">
        <f>IF(K29&gt;=17,"Extremo",IF(K29&gt;=10,"Alto",IF(K29&gt;=5,"Moderado","Bajo")))</f>
        <v/>
      </c>
      <c r="M29" s="22" t="inlineStr">
        <is>
          <t>Soporte presencial y custodia operativa de los equipos mientras están asignados.</t>
        </is>
      </c>
      <c r="N29" s="17" t="inlineStr">
        <is>
          <t>Preventivo</t>
        </is>
      </c>
      <c r="O29" s="17" t="n">
        <v>20</v>
      </c>
      <c r="P29" s="17" t="n">
        <v>20</v>
      </c>
      <c r="Q29" s="17">
        <f>AVERAGE(O29:P29)</f>
        <v/>
      </c>
      <c r="R29" s="17" t="n">
        <v>3</v>
      </c>
      <c r="S29" s="17" t="n">
        <v>4</v>
      </c>
      <c r="T29" s="17">
        <f>R29*S29</f>
        <v/>
      </c>
      <c r="U29" s="17">
        <f>IF(T29&gt;=17,"Extremo",IF(T29&gt;=10,"Alto",IF(T29&gt;=5,"Moderado","Bajo")))</f>
        <v/>
      </c>
      <c r="V29" s="17" t="inlineStr">
        <is>
          <t>Reducir / Compartir</t>
        </is>
      </c>
      <c r="W29" s="22" t="inlineStr">
        <is>
          <t>Residual Bajo (≤4)</t>
        </is>
      </c>
      <c r="X29" s="17" t="inlineStr">
        <is>
          <t>Por evento</t>
        </is>
      </c>
      <c r="Y29" s="29" t="n">
        <v>46295</v>
      </c>
      <c r="Z29" s="17" t="inlineStr">
        <is>
          <t>Abierto</t>
        </is>
      </c>
    </row>
    <row r="30" ht="78" customHeight="1">
      <c r="A30" s="17" t="inlineStr">
        <is>
          <t>R-26</t>
        </is>
      </c>
      <c r="B30" s="17" t="inlineStr">
        <is>
          <t>A-09</t>
        </is>
      </c>
      <c r="C30" s="22" t="inlineStr">
        <is>
          <t>CCTV y DVR</t>
        </is>
      </c>
      <c r="D30" s="22" t="inlineStr">
        <is>
          <t>Segmentación</t>
        </is>
      </c>
      <c r="E30" s="22" t="inlineStr">
        <is>
          <t>Compromiso del CCTV desde la red institucional o viceversa</t>
        </is>
      </c>
      <c r="F30" s="22" t="inlineStr">
        <is>
          <t>Las cámaras están conectadas al switch de la red y no se ha validado segmentación técnica.</t>
        </is>
      </c>
      <c r="G30" s="22" t="inlineStr">
        <is>
          <t>Acceso no autorizado a imágenes o afectación de otros dispositivos de red.</t>
        </is>
      </c>
      <c r="H30" s="22" t="inlineStr">
        <is>
          <t>TI / Movistar</t>
        </is>
      </c>
      <c r="I30" s="17" t="n">
        <v>3</v>
      </c>
      <c r="J30" s="17" t="n">
        <v>4</v>
      </c>
      <c r="K30" s="17">
        <f>I30*J30</f>
        <v/>
      </c>
      <c r="L30" s="17">
        <f>IF(K30&gt;=17,"Extremo",IF(K30&gt;=10,"Alto",IF(K30&gt;=5,"Moderado","Bajo")))</f>
        <v/>
      </c>
      <c r="M30" s="22" t="inlineStr">
        <is>
          <t>Cableado directo al switch y acceso al DVR limitado.</t>
        </is>
      </c>
      <c r="N30" s="17" t="inlineStr">
        <is>
          <t>Preventivo</t>
        </is>
      </c>
      <c r="O30" s="17" t="n">
        <v>30</v>
      </c>
      <c r="P30" s="17" t="n">
        <v>25</v>
      </c>
      <c r="Q30" s="17">
        <f>AVERAGE(O30:P30)</f>
        <v/>
      </c>
      <c r="R30" s="17" t="n">
        <v>3</v>
      </c>
      <c r="S30" s="17" t="n">
        <v>4</v>
      </c>
      <c r="T30" s="17">
        <f>R30*S30</f>
        <v/>
      </c>
      <c r="U30" s="17">
        <f>IF(T30&gt;=17,"Extremo",IF(T30&gt;=10,"Alto",IF(T30&gt;=5,"Moderado","Bajo")))</f>
        <v/>
      </c>
      <c r="V30" s="17" t="inlineStr">
        <is>
          <t>Reducir / Compartir</t>
        </is>
      </c>
      <c r="W30" s="22" t="inlineStr">
        <is>
          <t>Residual Bajo (≤4)</t>
        </is>
      </c>
      <c r="X30" s="17" t="inlineStr">
        <is>
          <t>Trimestral</t>
        </is>
      </c>
      <c r="Y30" s="29" t="n">
        <v>46295</v>
      </c>
      <c r="Z30" s="17" t="inlineStr">
        <is>
          <t>Abierto</t>
        </is>
      </c>
    </row>
  </sheetData>
  <autoFilter ref="A4:Z30"/>
  <mergeCells count="2">
    <mergeCell ref="A1:Z1"/>
    <mergeCell ref="A2:Z2"/>
  </mergeCells>
  <conditionalFormatting sqref="L5:L30">
    <cfRule type="expression" priority="1" dxfId="0">
      <formula>$L5="Bajo"</formula>
    </cfRule>
    <cfRule type="expression" priority="2" dxfId="1">
      <formula>$L5="Moderado"</formula>
    </cfRule>
    <cfRule type="expression" priority="3" dxfId="2">
      <formula>$L5="Alto"</formula>
    </cfRule>
    <cfRule type="expression" priority="4" dxfId="3">
      <formula>$L5="Extremo"</formula>
    </cfRule>
  </conditionalFormatting>
  <conditionalFormatting sqref="U5:U30">
    <cfRule type="expression" priority="5" dxfId="0">
      <formula>$U5="Bajo"</formula>
    </cfRule>
    <cfRule type="expression" priority="6" dxfId="1">
      <formula>$U5="Moderado"</formula>
    </cfRule>
    <cfRule type="expression" priority="7" dxfId="2">
      <formula>$U5="Alto"</formula>
    </cfRule>
    <cfRule type="expression" priority="8" dxfId="3">
      <formula>$U5="Extremo"</formula>
    </cfRule>
  </conditionalFormatting>
  <pageMargins left="0.75" right="0.75" top="1" bottom="1" header="0.5" footer="0.5"/>
  <pageSetup orientation="landscape" fitToHeight="0" fitToWidth="1"/>
  <headerFooter>
    <oddHeader/>
    <oddFooter>&amp;C&amp;8 Promueve Más S.A.S. | Vigencia 2026 |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0" customWidth="1" min="2" max="2"/>
    <col width="15" customWidth="1" min="3" max="3"/>
    <col width="52" customWidth="1" min="4" max="4"/>
    <col width="27" customWidth="1" min="5" max="5"/>
    <col width="27" customWidth="1" min="6" max="6"/>
    <col width="13" customWidth="1" min="7" max="7"/>
    <col width="13" customWidth="1" min="8" max="8"/>
    <col width="35" customWidth="1" min="9" max="9"/>
    <col width="28" customWidth="1" min="10" max="10"/>
    <col width="35" customWidth="1" min="11" max="11"/>
    <col width="12" customWidth="1" min="12" max="12"/>
    <col width="15" customWidth="1" min="13" max="13"/>
    <col width="10" customWidth="1" min="14" max="14"/>
    <col width="10" customWidth="1" min="15" max="15"/>
    <col width="12" customWidth="1" min="16" max="16"/>
    <col width="14" customWidth="1" min="17" max="17"/>
  </cols>
  <sheetData>
    <row r="1" ht="28" customHeight="1">
      <c r="A1" s="1" t="inlineStr">
        <is>
          <t>PLAN DE TRATAMIENTO DE RIESGOS</t>
        </is>
      </c>
    </row>
    <row r="2" ht="22" customHeight="1">
      <c r="A2" s="2" t="inlineStr">
        <is>
          <t>Acciones priorizadas para reducir la exposición residual – Segundo semestre de 2026</t>
        </is>
      </c>
    </row>
    <row r="4" ht="32" customHeight="1">
      <c r="A4" s="15" t="inlineStr">
        <is>
          <t>Acción ID</t>
        </is>
      </c>
      <c r="B4" s="15" t="inlineStr">
        <is>
          <t>Riesgo ID</t>
        </is>
      </c>
      <c r="C4" s="15" t="inlineStr">
        <is>
          <t>Nivel residual actual</t>
        </is>
      </c>
      <c r="D4" s="15" t="inlineStr">
        <is>
          <t>Acción de tratamiento</t>
        </is>
      </c>
      <c r="E4" s="15" t="inlineStr">
        <is>
          <t>Responsable</t>
        </is>
      </c>
      <c r="F4" s="15" t="inlineStr">
        <is>
          <t>Apoyo / tercero</t>
        </is>
      </c>
      <c r="G4" s="15" t="inlineStr">
        <is>
          <t>Inicio</t>
        </is>
      </c>
      <c r="H4" s="15" t="inlineStr">
        <is>
          <t>Vencimiento</t>
        </is>
      </c>
      <c r="I4" s="15" t="inlineStr">
        <is>
          <t>Indicador</t>
        </is>
      </c>
      <c r="J4" s="15" t="inlineStr">
        <is>
          <t>Meta</t>
        </is>
      </c>
      <c r="K4" s="15" t="inlineStr">
        <is>
          <t>Evidencia esperada</t>
        </is>
      </c>
      <c r="L4" s="15" t="inlineStr">
        <is>
          <t>Prioridad</t>
        </is>
      </c>
      <c r="M4" s="15" t="inlineStr">
        <is>
          <t>Estado</t>
        </is>
      </c>
      <c r="N4" s="15" t="inlineStr">
        <is>
          <t>P objetivo</t>
        </is>
      </c>
      <c r="O4" s="15" t="inlineStr">
        <is>
          <t>I objetivo</t>
        </is>
      </c>
      <c r="P4" s="15" t="inlineStr">
        <is>
          <t>Puntaje objetivo</t>
        </is>
      </c>
      <c r="Q4" s="15" t="inlineStr">
        <is>
          <t>Nivel objetivo</t>
        </is>
      </c>
    </row>
    <row r="5" ht="70" customHeight="1">
      <c r="A5" s="17" t="inlineStr">
        <is>
          <t>PT-01</t>
        </is>
      </c>
      <c r="B5" s="17" t="inlineStr">
        <is>
          <t>R-01</t>
        </is>
      </c>
      <c r="C5" s="17" t="inlineStr">
        <is>
          <t>Alto</t>
        </is>
      </c>
      <c r="D5" s="22" t="inlineStr">
        <is>
          <t>Crear una cuenta administradora custodiada por TI, convertir usuarios operativos en estándar y aplicar política de contraseñas robustas y cambio trimestral.</t>
        </is>
      </c>
      <c r="E5" s="22" t="inlineStr">
        <is>
          <t>TI</t>
        </is>
      </c>
      <c r="F5" s="22" t="inlineStr">
        <is>
          <t>Dirección Administrativa y Financiera</t>
        </is>
      </c>
      <c r="G5" s="29" t="n">
        <v>46223</v>
      </c>
      <c r="H5" s="29" t="n">
        <v>46249</v>
      </c>
      <c r="I5" s="22" t="inlineStr">
        <is>
          <t>Porcentaje de equipos con usuario estándar, contraseña robusta y administrador TI</t>
        </is>
      </c>
      <c r="J5" s="22" t="inlineStr">
        <is>
          <t>100% de 26 equipos</t>
        </is>
      </c>
      <c r="K5" s="22" t="inlineStr">
        <is>
          <t>Capturas o acta de configuración por equipo</t>
        </is>
      </c>
      <c r="L5" s="17" t="inlineStr">
        <is>
          <t>Alta</t>
        </is>
      </c>
      <c r="M5" s="17" t="inlineStr">
        <is>
          <t>Pendiente</t>
        </is>
      </c>
      <c r="N5" s="17" t="n">
        <v>2</v>
      </c>
      <c r="O5" s="17" t="n">
        <v>4</v>
      </c>
      <c r="P5" s="17">
        <f>N5*O5</f>
        <v/>
      </c>
      <c r="Q5" s="17">
        <f>IF(P5&gt;=17,"Extremo",IF(P5&gt;=10,"Alto",IF(P5&gt;=5,"Moderado","Bajo")))</f>
        <v/>
      </c>
    </row>
    <row r="6" ht="70" customHeight="1">
      <c r="A6" s="17" t="inlineStr">
        <is>
          <t>PT-02</t>
        </is>
      </c>
      <c r="B6" s="17" t="inlineStr">
        <is>
          <t>R-02</t>
        </is>
      </c>
      <c r="C6" s="17" t="inlineStr">
        <is>
          <t>Alto</t>
        </is>
      </c>
      <c r="D6" s="22" t="inlineStr">
        <is>
          <t>Restringir la instalación de aplicaciones y aprobar una lista básica de software autorizado.</t>
        </is>
      </c>
      <c r="E6" s="22" t="inlineStr">
        <is>
          <t>TI</t>
        </is>
      </c>
      <c r="F6" s="22" t="inlineStr">
        <is>
          <t>Computar S.A.S.</t>
        </is>
      </c>
      <c r="G6" s="29" t="n">
        <v>46223</v>
      </c>
      <c r="H6" s="29" t="n">
        <v>46265</v>
      </c>
      <c r="I6" s="22" t="inlineStr">
        <is>
          <t>Equipos sin permisos de instalación para usuarios finales</t>
        </is>
      </c>
      <c r="J6" s="22" t="inlineStr">
        <is>
          <t>100%</t>
        </is>
      </c>
      <c r="K6" s="22" t="inlineStr">
        <is>
          <t>Inventario y acta de configuración</t>
        </is>
      </c>
      <c r="L6" s="17" t="inlineStr">
        <is>
          <t>Alta</t>
        </is>
      </c>
      <c r="M6" s="17" t="inlineStr">
        <is>
          <t>Pendiente</t>
        </is>
      </c>
      <c r="N6" s="17" t="n">
        <v>2</v>
      </c>
      <c r="O6" s="17" t="n">
        <v>4</v>
      </c>
      <c r="P6" s="17">
        <f>N6*O6</f>
        <v/>
      </c>
      <c r="Q6" s="17">
        <f>IF(P6&gt;=17,"Extremo",IF(P6&gt;=10,"Alto",IF(P6&gt;=5,"Moderado","Bajo")))</f>
        <v/>
      </c>
    </row>
    <row r="7" ht="70" customHeight="1">
      <c r="A7" s="17" t="inlineStr">
        <is>
          <t>PT-03</t>
        </is>
      </c>
      <c r="B7" s="17" t="inlineStr">
        <is>
          <t>R-03</t>
        </is>
      </c>
      <c r="C7" s="17" t="inlineStr">
        <is>
          <t>Alto</t>
        </is>
      </c>
      <c r="D7" s="22" t="inlineStr">
        <is>
          <t>Bloquear almacenamiento USB en equipos no autorizados y documentar los tres equipos o usuarios habilitados.</t>
        </is>
      </c>
      <c r="E7" s="22" t="inlineStr">
        <is>
          <t>TI</t>
        </is>
      </c>
      <c r="F7" s="22" t="inlineStr">
        <is>
          <t>Dirección Administrativa y Financiera</t>
        </is>
      </c>
      <c r="G7" s="29" t="n">
        <v>46223</v>
      </c>
      <c r="H7" s="29" t="n">
        <v>46265</v>
      </c>
      <c r="I7" s="22" t="inlineStr">
        <is>
          <t>Equipos con restricción USB aplicada</t>
        </is>
      </c>
      <c r="J7" s="22" t="inlineStr">
        <is>
          <t>23 de 26 o según inventario definitivo</t>
        </is>
      </c>
      <c r="K7" s="22" t="inlineStr">
        <is>
          <t>Acta de configuración y lista de excepciones</t>
        </is>
      </c>
      <c r="L7" s="17" t="inlineStr">
        <is>
          <t>Media</t>
        </is>
      </c>
      <c r="M7" s="17" t="inlineStr">
        <is>
          <t>Pendiente</t>
        </is>
      </c>
      <c r="N7" s="17" t="n">
        <v>1</v>
      </c>
      <c r="O7" s="17" t="n">
        <v>4</v>
      </c>
      <c r="P7" s="17">
        <f>N7*O7</f>
        <v/>
      </c>
      <c r="Q7" s="17">
        <f>IF(P7&gt;=17,"Extremo",IF(P7&gt;=10,"Alto",IF(P7&gt;=5,"Moderado","Bajo")))</f>
        <v/>
      </c>
    </row>
    <row r="8" ht="70" customHeight="1">
      <c r="A8" s="17" t="inlineStr">
        <is>
          <t>PT-04</t>
        </is>
      </c>
      <c r="B8" s="17" t="inlineStr">
        <is>
          <t>R-04</t>
        </is>
      </c>
      <c r="C8" s="17" t="inlineStr">
        <is>
          <t>Alto</t>
        </is>
      </c>
      <c r="D8" s="22" t="inlineStr">
        <is>
          <t>Validar estado de Microsoft Defender en todos los equipos y evaluar antivirus corporativo administrado.</t>
        </is>
      </c>
      <c r="E8" s="22" t="inlineStr">
        <is>
          <t>TI</t>
        </is>
      </c>
      <c r="F8" s="22" t="inlineStr">
        <is>
          <t>Dirección Administrativa y Financiera</t>
        </is>
      </c>
      <c r="G8" s="29" t="n">
        <v>46223</v>
      </c>
      <c r="H8" s="29" t="n">
        <v>46326</v>
      </c>
      <c r="I8" s="22" t="inlineStr">
        <is>
          <t>Equipos protegidos y actualizados</t>
        </is>
      </c>
      <c r="J8" s="22" t="inlineStr">
        <is>
          <t>100%; decisión de solución corporativa documentada</t>
        </is>
      </c>
      <c r="K8" s="22" t="inlineStr">
        <is>
          <t>Reporte de protección y evaluación técnico-económica</t>
        </is>
      </c>
      <c r="L8" s="17" t="inlineStr">
        <is>
          <t>Alta</t>
        </is>
      </c>
      <c r="M8" s="17" t="inlineStr">
        <is>
          <t>En curso</t>
        </is>
      </c>
      <c r="N8" s="17" t="n">
        <v>2</v>
      </c>
      <c r="O8" s="17" t="n">
        <v>4</v>
      </c>
      <c r="P8" s="17">
        <f>N8*O8</f>
        <v/>
      </c>
      <c r="Q8" s="17">
        <f>IF(P8&gt;=17,"Extremo",IF(P8&gt;=10,"Alto",IF(P8&gt;=5,"Moderado","Bajo")))</f>
        <v/>
      </c>
    </row>
    <row r="9" ht="70" customHeight="1">
      <c r="A9" s="17" t="inlineStr">
        <is>
          <t>PT-05</t>
        </is>
      </c>
      <c r="B9" s="17" t="inlineStr">
        <is>
          <t>R-05</t>
        </is>
      </c>
      <c r="C9" s="17" t="inlineStr">
        <is>
          <t>Alto</t>
        </is>
      </c>
      <c r="D9" s="22" t="inlineStr">
        <is>
          <t>Solicitar a Movistar revisión de seguridad y evaluar firewall institucional o controles equivalentes.</t>
        </is>
      </c>
      <c r="E9" s="22" t="inlineStr">
        <is>
          <t>TI</t>
        </is>
      </c>
      <c r="F9" s="22" t="inlineStr">
        <is>
          <t>Movistar / Dirección Administrativa y Financiera</t>
        </is>
      </c>
      <c r="G9" s="29" t="n">
        <v>46223</v>
      </c>
      <c r="H9" s="29" t="n">
        <v>46295</v>
      </c>
      <c r="I9" s="22" t="inlineStr">
        <is>
          <t>Revisión técnica y plan de mejora de red realizados</t>
        </is>
      </c>
      <c r="J9" s="22" t="inlineStr">
        <is>
          <t>1 revisión y 1 decisión documentada</t>
        </is>
      </c>
      <c r="K9" s="22" t="inlineStr">
        <is>
          <t>Informe o correo del proveedor</t>
        </is>
      </c>
      <c r="L9" s="17" t="inlineStr">
        <is>
          <t>Alta</t>
        </is>
      </c>
      <c r="M9" s="17" t="inlineStr">
        <is>
          <t>Pendiente</t>
        </is>
      </c>
      <c r="N9" s="17" t="n">
        <v>1</v>
      </c>
      <c r="O9" s="17" t="n">
        <v>5</v>
      </c>
      <c r="P9" s="17">
        <f>N9*O9</f>
        <v/>
      </c>
      <c r="Q9" s="17">
        <f>IF(P9&gt;=17,"Extremo",IF(P9&gt;=10,"Alto",IF(P9&gt;=5,"Moderado","Bajo")))</f>
        <v/>
      </c>
    </row>
    <row r="10" ht="70" customHeight="1">
      <c r="A10" s="17" t="inlineStr">
        <is>
          <t>PT-06</t>
        </is>
      </c>
      <c r="B10" s="17" t="inlineStr">
        <is>
          <t>R-06</t>
        </is>
      </c>
      <c r="C10" s="17" t="inlineStr">
        <is>
          <t>Alto</t>
        </is>
      </c>
      <c r="D10" s="22" t="inlineStr">
        <is>
          <t>Implementar copia adicional fuera de las instalaciones y ejecutar prueba semestral de restauración.</t>
        </is>
      </c>
      <c r="E10" s="22" t="inlineStr">
        <is>
          <t>TI</t>
        </is>
      </c>
      <c r="F10" s="22" t="inlineStr">
        <is>
          <t>Dirección Administrativa y Financiera</t>
        </is>
      </c>
      <c r="G10" s="29" t="n">
        <v>46223</v>
      </c>
      <c r="H10" s="29" t="n">
        <v>46295</v>
      </c>
      <c r="I10" s="22" t="inlineStr">
        <is>
          <t>Backups mensuales exitosos y pruebas de restauración</t>
        </is>
      </c>
      <c r="J10" s="22" t="inlineStr">
        <is>
          <t>100% mensual; 1 prueba semestral</t>
        </is>
      </c>
      <c r="K10" s="22" t="inlineStr">
        <is>
          <t>Bitácora de backup y acta de restauración</t>
        </is>
      </c>
      <c r="L10" s="17" t="inlineStr">
        <is>
          <t>Alta</t>
        </is>
      </c>
      <c r="M10" s="17" t="inlineStr">
        <is>
          <t>En curso</t>
        </is>
      </c>
      <c r="N10" s="17" t="n">
        <v>2</v>
      </c>
      <c r="O10" s="17" t="n">
        <v>4</v>
      </c>
      <c r="P10" s="17">
        <f>N10*O10</f>
        <v/>
      </c>
      <c r="Q10" s="17">
        <f>IF(P10&gt;=17,"Extremo",IF(P10&gt;=10,"Alto",IF(P10&gt;=5,"Moderado","Bajo")))</f>
        <v/>
      </c>
    </row>
    <row r="11" ht="70" customHeight="1">
      <c r="A11" s="17" t="inlineStr">
        <is>
          <t>PT-07</t>
        </is>
      </c>
      <c r="B11" s="17" t="inlineStr">
        <is>
          <t>R-07</t>
        </is>
      </c>
      <c r="C11" s="17" t="inlineStr">
        <is>
          <t>Moderado</t>
        </is>
      </c>
      <c r="D11" s="22" t="inlineStr">
        <is>
          <t>Priorizar UPS para equipos críticos y documentar la adquisición o alternativa aprobada.</t>
        </is>
      </c>
      <c r="E11" s="22" t="inlineStr">
        <is>
          <t>Dirección Administrativa y Financiera</t>
        </is>
      </c>
      <c r="F11" s="22" t="inlineStr">
        <is>
          <t>TI</t>
        </is>
      </c>
      <c r="G11" s="29" t="n">
        <v>46235</v>
      </c>
      <c r="H11" s="29" t="n">
        <v>46371</v>
      </c>
      <c r="I11" s="22" t="inlineStr">
        <is>
          <t>Equipos críticos protegidos por UPS</t>
        </is>
      </c>
      <c r="J11" s="22" t="inlineStr">
        <is>
          <t>100% de equipos críticos definidos</t>
        </is>
      </c>
      <c r="K11" s="22" t="inlineStr">
        <is>
          <t>Cotización, compra o decisión documentada</t>
        </is>
      </c>
      <c r="L11" s="17" t="inlineStr">
        <is>
          <t>Media</t>
        </is>
      </c>
      <c r="M11" s="17" t="inlineStr">
        <is>
          <t>Pendiente</t>
        </is>
      </c>
      <c r="N11" s="17" t="n">
        <v>2</v>
      </c>
      <c r="O11" s="17" t="n">
        <v>3</v>
      </c>
      <c r="P11" s="17">
        <f>N11*O11</f>
        <v/>
      </c>
      <c r="Q11" s="17">
        <f>IF(P11&gt;=17,"Extremo",IF(P11&gt;=10,"Alto",IF(P11&gt;=5,"Moderado","Bajo")))</f>
        <v/>
      </c>
    </row>
    <row r="12" ht="70" customHeight="1">
      <c r="A12" s="17" t="inlineStr">
        <is>
          <t>PT-08</t>
        </is>
      </c>
      <c r="B12" s="17" t="inlineStr">
        <is>
          <t>R-08</t>
        </is>
      </c>
      <c r="C12" s="17" t="inlineStr">
        <is>
          <t>Moderado</t>
        </is>
      </c>
      <c r="D12" s="22" t="inlineStr">
        <is>
          <t>Exigir a Computar S.A.S. cronograma y evidencia de mantenimiento preventivo.</t>
        </is>
      </c>
      <c r="E12" s="22" t="inlineStr">
        <is>
          <t>Dirección Administrativa y Financiera</t>
        </is>
      </c>
      <c r="F12" s="22" t="inlineStr">
        <is>
          <t>Computar S.A.S. / TI</t>
        </is>
      </c>
      <c r="G12" s="29" t="n">
        <v>46223</v>
      </c>
      <c r="H12" s="29" t="n">
        <v>46265</v>
      </c>
      <c r="I12" s="22" t="inlineStr">
        <is>
          <t>Mantenimientos preventivos ejecutados</t>
        </is>
      </c>
      <c r="J12" s="22" t="inlineStr">
        <is>
          <t>100% del inventario según cronograma</t>
        </is>
      </c>
      <c r="K12" s="22" t="inlineStr">
        <is>
          <t>Cronograma y actas de mantenimiento</t>
        </is>
      </c>
      <c r="L12" s="17" t="inlineStr">
        <is>
          <t>Media</t>
        </is>
      </c>
      <c r="M12" s="17" t="inlineStr">
        <is>
          <t>En curso</t>
        </is>
      </c>
      <c r="N12" s="17" t="n">
        <v>1</v>
      </c>
      <c r="O12" s="17" t="n">
        <v>3</v>
      </c>
      <c r="P12" s="17">
        <f>N12*O12</f>
        <v/>
      </c>
      <c r="Q12" s="17">
        <f>IF(P12&gt;=17,"Extremo",IF(P12&gt;=10,"Alto",IF(P12&gt;=5,"Moderado","Bajo")))</f>
        <v/>
      </c>
    </row>
    <row r="13" ht="70" customHeight="1">
      <c r="A13" s="17" t="inlineStr">
        <is>
          <t>PT-09</t>
        </is>
      </c>
      <c r="B13" s="17" t="inlineStr">
        <is>
          <t>R-09</t>
        </is>
      </c>
      <c r="C13" s="17" t="inlineStr">
        <is>
          <t>Alto</t>
        </is>
      </c>
      <c r="D13" s="22" t="inlineStr">
        <is>
          <t>Clasificar información como pública, interna o confidencial y asignar responsables de custodia.</t>
        </is>
      </c>
      <c r="E13" s="22" t="inlineStr">
        <is>
          <t>Dirección Administrativa y Financiera</t>
        </is>
      </c>
      <c r="F13" s="22" t="inlineStr">
        <is>
          <t>Responsables de proceso</t>
        </is>
      </c>
      <c r="G13" s="29" t="n">
        <v>46223</v>
      </c>
      <c r="H13" s="29" t="n">
        <v>46295</v>
      </c>
      <c r="I13" s="22" t="inlineStr">
        <is>
          <t>Tipos de información clasificados</t>
        </is>
      </c>
      <c r="J13" s="22" t="inlineStr">
        <is>
          <t>100% de categorías priorizadas</t>
        </is>
      </c>
      <c r="K13" s="22" t="inlineStr">
        <is>
          <t>Inventario y esquema de clasificación aprobado</t>
        </is>
      </c>
      <c r="L13" s="17" t="inlineStr">
        <is>
          <t>Alta</t>
        </is>
      </c>
      <c r="M13" s="17" t="inlineStr">
        <is>
          <t>Pendiente</t>
        </is>
      </c>
      <c r="N13" s="17" t="n">
        <v>2</v>
      </c>
      <c r="O13" s="17" t="n">
        <v>4</v>
      </c>
      <c r="P13" s="17">
        <f>N13*O13</f>
        <v/>
      </c>
      <c r="Q13" s="17">
        <f>IF(P13&gt;=17,"Extremo",IF(P13&gt;=10,"Alto",IF(P13&gt;=5,"Moderado","Bajo")))</f>
        <v/>
      </c>
    </row>
    <row r="14" ht="70" customHeight="1">
      <c r="A14" s="17" t="inlineStr">
        <is>
          <t>PT-10</t>
        </is>
      </c>
      <c r="B14" s="17" t="inlineStr">
        <is>
          <t>R-10</t>
        </is>
      </c>
      <c r="C14" s="17" t="inlineStr">
        <is>
          <t>Extremo</t>
        </is>
      </c>
      <c r="D14" s="22" t="inlineStr">
        <is>
          <t>Aplicar escritorio limpio y almacenar contratos y documentos financieros en archivadores con llave.</t>
        </is>
      </c>
      <c r="E14" s="22" t="inlineStr">
        <is>
          <t>Responsables de proceso</t>
        </is>
      </c>
      <c r="F14" s="22" t="inlineStr">
        <is>
          <t>Dirección Administrativa y Financiera</t>
        </is>
      </c>
      <c r="G14" s="29" t="n">
        <v>46223</v>
      </c>
      <c r="H14" s="29" t="n">
        <v>46249</v>
      </c>
      <c r="I14" s="22" t="inlineStr">
        <is>
          <t>Áreas con documentos sensibles protegidos</t>
        </is>
      </c>
      <c r="J14" s="22" t="inlineStr">
        <is>
          <t>100%</t>
        </is>
      </c>
      <c r="K14" s="22" t="inlineStr">
        <is>
          <t>Registro fotográfico y lista de verificación</t>
        </is>
      </c>
      <c r="L14" s="17" t="inlineStr">
        <is>
          <t>Inmediata</t>
        </is>
      </c>
      <c r="M14" s="17" t="inlineStr">
        <is>
          <t>Pendiente</t>
        </is>
      </c>
      <c r="N14" s="17" t="n">
        <v>2</v>
      </c>
      <c r="O14" s="17" t="n">
        <v>4</v>
      </c>
      <c r="P14" s="17">
        <f>N14*O14</f>
        <v/>
      </c>
      <c r="Q14" s="17">
        <f>IF(P14&gt;=17,"Extremo",IF(P14&gt;=10,"Alto",IF(P14&gt;=5,"Moderado","Bajo")))</f>
        <v/>
      </c>
    </row>
    <row r="15" ht="70" customHeight="1">
      <c r="A15" s="17" t="inlineStr">
        <is>
          <t>PT-11</t>
        </is>
      </c>
      <c r="B15" s="17" t="inlineStr">
        <is>
          <t>R-11</t>
        </is>
      </c>
      <c r="C15" s="17" t="inlineStr">
        <is>
          <t>Extremo</t>
        </is>
      </c>
      <c r="D15" s="22" t="inlineStr">
        <is>
          <t>Configurar bloqueo automático de pantalla máximo a 5 minutos y socializar Windows+L.</t>
        </is>
      </c>
      <c r="E15" s="22" t="inlineStr">
        <is>
          <t>TI</t>
        </is>
      </c>
      <c r="F15" s="22" t="inlineStr">
        <is>
          <t>Todos los usuarios</t>
        </is>
      </c>
      <c r="G15" s="29" t="n">
        <v>46223</v>
      </c>
      <c r="H15" s="29" t="n">
        <v>46249</v>
      </c>
      <c r="I15" s="22" t="inlineStr">
        <is>
          <t>Equipos con bloqueo automático</t>
        </is>
      </c>
      <c r="J15" s="22" t="inlineStr">
        <is>
          <t>100% de 26 equipos</t>
        </is>
      </c>
      <c r="K15" s="22" t="inlineStr">
        <is>
          <t>Acta y verificación de configuración</t>
        </is>
      </c>
      <c r="L15" s="17" t="inlineStr">
        <is>
          <t>Inmediata</t>
        </is>
      </c>
      <c r="M15" s="17" t="inlineStr">
        <is>
          <t>Pendiente</t>
        </is>
      </c>
      <c r="N15" s="17" t="n">
        <v>1</v>
      </c>
      <c r="O15" s="17" t="n">
        <v>4</v>
      </c>
      <c r="P15" s="17">
        <f>N15*O15</f>
        <v/>
      </c>
      <c r="Q15" s="17">
        <f>IF(P15&gt;=17,"Extremo",IF(P15&gt;=10,"Alto",IF(P15&gt;=5,"Moderado","Bajo")))</f>
        <v/>
      </c>
    </row>
    <row r="16" ht="70" customHeight="1">
      <c r="A16" s="17" t="inlineStr">
        <is>
          <t>PT-12</t>
        </is>
      </c>
      <c r="B16" s="17" t="inlineStr">
        <is>
          <t>R-12</t>
        </is>
      </c>
      <c r="C16" s="17" t="inlineStr">
        <is>
          <t>Alto</t>
        </is>
      </c>
      <c r="D16" s="22" t="inlineStr">
        <is>
          <t>Activar doble factor donde el servicio lo permita y regular el uso de correo en celulares personales.</t>
        </is>
      </c>
      <c r="E16" s="22" t="inlineStr">
        <is>
          <t>TI</t>
        </is>
      </c>
      <c r="F16" s="22" t="inlineStr">
        <is>
          <t>Usuarios de correo</t>
        </is>
      </c>
      <c r="G16" s="29" t="n">
        <v>46223</v>
      </c>
      <c r="H16" s="29" t="n">
        <v>46295</v>
      </c>
      <c r="I16" s="22" t="inlineStr">
        <is>
          <t>Cuentas corporativas protegidas con MFA o control compensatorio</t>
        </is>
      </c>
      <c r="J16" s="22" t="inlineStr">
        <is>
          <t>100%</t>
        </is>
      </c>
      <c r="K16" s="22" t="inlineStr">
        <is>
          <t>Reporte de configuración y aceptación de lineamientos</t>
        </is>
      </c>
      <c r="L16" s="17" t="inlineStr">
        <is>
          <t>Alta</t>
        </is>
      </c>
      <c r="M16" s="17" t="inlineStr">
        <is>
          <t>Pendiente</t>
        </is>
      </c>
      <c r="N16" s="17" t="n">
        <v>1</v>
      </c>
      <c r="O16" s="17" t="n">
        <v>5</v>
      </c>
      <c r="P16" s="17">
        <f>N16*O16</f>
        <v/>
      </c>
      <c r="Q16" s="17">
        <f>IF(P16&gt;=17,"Extremo",IF(P16&gt;=10,"Alto",IF(P16&gt;=5,"Moderado","Bajo")))</f>
        <v/>
      </c>
    </row>
    <row r="17" ht="70" customHeight="1">
      <c r="A17" s="17" t="inlineStr">
        <is>
          <t>PT-13</t>
        </is>
      </c>
      <c r="B17" s="17" t="inlineStr">
        <is>
          <t>R-13</t>
        </is>
      </c>
      <c r="C17" s="17" t="inlineStr">
        <is>
          <t>Moderado</t>
        </is>
      </c>
      <c r="D17" s="22" t="inlineStr">
        <is>
          <t>Revisar y aprobar la matriz de accesos al CCTV, incluyendo justificación del acceso de Talento Humano.</t>
        </is>
      </c>
      <c r="E17" s="22" t="inlineStr">
        <is>
          <t>Gerencia</t>
        </is>
      </c>
      <c r="F17" s="22" t="inlineStr">
        <is>
          <t>Dirección Administrativa y Financiera / TI</t>
        </is>
      </c>
      <c r="G17" s="29" t="n">
        <v>46223</v>
      </c>
      <c r="H17" s="29" t="n">
        <v>46265</v>
      </c>
      <c r="I17" s="22" t="inlineStr">
        <is>
          <t>Accesos a CCTV revisados y autorizados</t>
        </is>
      </c>
      <c r="J17" s="22" t="inlineStr">
        <is>
          <t>100% de usuarios</t>
        </is>
      </c>
      <c r="K17" s="22" t="inlineStr">
        <is>
          <t>Matriz de accesos y acta de aprobación</t>
        </is>
      </c>
      <c r="L17" s="17" t="inlineStr">
        <is>
          <t>Media</t>
        </is>
      </c>
      <c r="M17" s="17" t="inlineStr">
        <is>
          <t>En curso</t>
        </is>
      </c>
      <c r="N17" s="17" t="n">
        <v>1</v>
      </c>
      <c r="O17" s="17" t="n">
        <v>3</v>
      </c>
      <c r="P17" s="17">
        <f>N17*O17</f>
        <v/>
      </c>
      <c r="Q17" s="17">
        <f>IF(P17&gt;=17,"Extremo",IF(P17&gt;=10,"Alto",IF(P17&gt;=5,"Moderado","Bajo")))</f>
        <v/>
      </c>
    </row>
    <row r="18" ht="70" customHeight="1">
      <c r="A18" s="17" t="inlineStr">
        <is>
          <t>PT-14</t>
        </is>
      </c>
      <c r="B18" s="17" t="inlineStr">
        <is>
          <t>R-14</t>
        </is>
      </c>
      <c r="C18" s="17" t="inlineStr">
        <is>
          <t>Alto</t>
        </is>
      </c>
      <c r="D18" s="22" t="inlineStr">
        <is>
          <t>Solicitar a Movistar validación de aislamiento de la red de visitantes.</t>
        </is>
      </c>
      <c r="E18" s="22" t="inlineStr">
        <is>
          <t>TI</t>
        </is>
      </c>
      <c r="F18" s="22" t="inlineStr">
        <is>
          <t>Movistar</t>
        </is>
      </c>
      <c r="G18" s="29" t="n">
        <v>46223</v>
      </c>
      <c r="H18" s="29" t="n">
        <v>46295</v>
      </c>
      <c r="I18" s="22" t="inlineStr">
        <is>
          <t>Segmentación de visitantes validada</t>
        </is>
      </c>
      <c r="J18" s="22" t="inlineStr">
        <is>
          <t>1 validación técnica satisfactoria</t>
        </is>
      </c>
      <c r="K18" s="22" t="inlineStr">
        <is>
          <t>Informe o correo técnico</t>
        </is>
      </c>
      <c r="L18" s="17" t="inlineStr">
        <is>
          <t>Alta</t>
        </is>
      </c>
      <c r="M18" s="17" t="inlineStr">
        <is>
          <t>Pendiente</t>
        </is>
      </c>
      <c r="N18" s="17" t="n">
        <v>1</v>
      </c>
      <c r="O18" s="17" t="n">
        <v>4</v>
      </c>
      <c r="P18" s="17">
        <f>N18*O18</f>
        <v/>
      </c>
      <c r="Q18" s="17">
        <f>IF(P18&gt;=17,"Extremo",IF(P18&gt;=10,"Alto",IF(P18&gt;=5,"Moderado","Bajo")))</f>
        <v/>
      </c>
    </row>
    <row r="19" ht="70" customHeight="1">
      <c r="A19" s="17" t="inlineStr">
        <is>
          <t>PT-15</t>
        </is>
      </c>
      <c r="B19" s="17" t="inlineStr">
        <is>
          <t>R-15</t>
        </is>
      </c>
      <c r="C19" s="17" t="inlineStr">
        <is>
          <t>Alto</t>
        </is>
      </c>
      <c r="D19" s="22" t="inlineStr">
        <is>
          <t>Implementar inducción de seguridad y realizar la capacitación semestral pendiente.</t>
        </is>
      </c>
      <c r="E19" s="22" t="inlineStr">
        <is>
          <t>Dirección Administrativa y Financiera</t>
        </is>
      </c>
      <c r="F19" s="22" t="inlineStr">
        <is>
          <t>Talento Humano / MinTIC</t>
        </is>
      </c>
      <c r="G19" s="29" t="n">
        <v>46223</v>
      </c>
      <c r="H19" s="29" t="n">
        <v>46371</v>
      </c>
      <c r="I19" s="22" t="inlineStr">
        <is>
          <t>Personal capacitado</t>
        </is>
      </c>
      <c r="J19" s="22" t="inlineStr">
        <is>
          <t>≥90% y 1 jornada semestral</t>
        </is>
      </c>
      <c r="K19" s="22" t="inlineStr">
        <is>
          <t>Listado de asistencia y material</t>
        </is>
      </c>
      <c r="L19" s="17" t="inlineStr">
        <is>
          <t>Alta</t>
        </is>
      </c>
      <c r="M19" s="17" t="inlineStr">
        <is>
          <t>Pendiente</t>
        </is>
      </c>
      <c r="N19" s="17" t="n">
        <v>2</v>
      </c>
      <c r="O19" s="17" t="n">
        <v>4</v>
      </c>
      <c r="P19" s="17">
        <f>N19*O19</f>
        <v/>
      </c>
      <c r="Q19" s="17">
        <f>IF(P19&gt;=17,"Extremo",IF(P19&gt;=10,"Alto",IF(P19&gt;=5,"Moderado","Bajo")))</f>
        <v/>
      </c>
    </row>
    <row r="20" ht="70" customHeight="1">
      <c r="A20" s="17" t="inlineStr">
        <is>
          <t>PT-16</t>
        </is>
      </c>
      <c r="B20" s="17" t="inlineStr">
        <is>
          <t>R-16</t>
        </is>
      </c>
      <c r="C20" s="17" t="inlineStr">
        <is>
          <t>Alto</t>
        </is>
      </c>
      <c r="D20" s="22" t="inlineStr">
        <is>
          <t>Aprobar formato y procedimiento de reporte, contención, recuperación y cierre de incidentes.</t>
        </is>
      </c>
      <c r="E20" s="22" t="inlineStr">
        <is>
          <t>Dirección Administrativa y Financiera</t>
        </is>
      </c>
      <c r="F20" s="22" t="inlineStr">
        <is>
          <t>TI / Gerencia</t>
        </is>
      </c>
      <c r="G20" s="29" t="n">
        <v>46223</v>
      </c>
      <c r="H20" s="29" t="n">
        <v>46295</v>
      </c>
      <c r="I20" s="22" t="inlineStr">
        <is>
          <t>Procedimiento aprobado y eventos registrados</t>
        </is>
      </c>
      <c r="J20" s="22" t="inlineStr">
        <is>
          <t>1 procedimiento; 100% de incidentes registrados</t>
        </is>
      </c>
      <c r="K20" s="22" t="inlineStr">
        <is>
          <t>Procedimiento y bitácora</t>
        </is>
      </c>
      <c r="L20" s="17" t="inlineStr">
        <is>
          <t>Alta</t>
        </is>
      </c>
      <c r="M20" s="17" t="inlineStr">
        <is>
          <t>Pendiente</t>
        </is>
      </c>
      <c r="N20" s="17" t="n">
        <v>2</v>
      </c>
      <c r="O20" s="17" t="n">
        <v>3</v>
      </c>
      <c r="P20" s="17">
        <f>N20*O20</f>
        <v/>
      </c>
      <c r="Q20" s="17">
        <f>IF(P20&gt;=17,"Extremo",IF(P20&gt;=10,"Alto",IF(P20&gt;=5,"Moderado","Bajo")))</f>
        <v/>
      </c>
    </row>
    <row r="21" ht="70" customHeight="1">
      <c r="A21" s="17" t="inlineStr">
        <is>
          <t>PT-17</t>
        </is>
      </c>
      <c r="B21" s="17" t="inlineStr">
        <is>
          <t>R-17</t>
        </is>
      </c>
      <c r="C21" s="17" t="inlineStr">
        <is>
          <t>Alto</t>
        </is>
      </c>
      <c r="D21" s="22" t="inlineStr">
        <is>
          <t>Custodiar credenciales críticas en gestor de contraseñas y definir acceso de contingencia.</t>
        </is>
      </c>
      <c r="E21" s="22" t="inlineStr">
        <is>
          <t>Dirección Administrativa y Financiera</t>
        </is>
      </c>
      <c r="F21" s="22" t="inlineStr">
        <is>
          <t>TI / Gerencia</t>
        </is>
      </c>
      <c r="G21" s="29" t="n">
        <v>46223</v>
      </c>
      <c r="H21" s="29" t="n">
        <v>46295</v>
      </c>
      <c r="I21" s="22" t="inlineStr">
        <is>
          <t>Servicios críticos con credenciales custodiadas</t>
        </is>
      </c>
      <c r="J21" s="22" t="inlineStr">
        <is>
          <t>100%</t>
        </is>
      </c>
      <c r="K21" s="22" t="inlineStr">
        <is>
          <t>Inventario de accesos y acta de custodia</t>
        </is>
      </c>
      <c r="L21" s="17" t="inlineStr">
        <is>
          <t>Alta</t>
        </is>
      </c>
      <c r="M21" s="17" t="inlineStr">
        <is>
          <t>Pendiente</t>
        </is>
      </c>
      <c r="N21" s="17" t="n">
        <v>1</v>
      </c>
      <c r="O21" s="17" t="n">
        <v>4</v>
      </c>
      <c r="P21" s="17">
        <f>N21*O21</f>
        <v/>
      </c>
      <c r="Q21" s="17">
        <f>IF(P21&gt;=17,"Extremo",IF(P21&gt;=10,"Alto",IF(P21&gt;=5,"Moderado","Bajo")))</f>
        <v/>
      </c>
    </row>
    <row r="22" ht="70" customHeight="1">
      <c r="A22" s="17" t="inlineStr">
        <is>
          <t>PT-18</t>
        </is>
      </c>
      <c r="B22" s="17" t="inlineStr">
        <is>
          <t>R-18</t>
        </is>
      </c>
      <c r="C22" s="17" t="inlineStr">
        <is>
          <t>Moderado</t>
        </is>
      </c>
      <c r="D22" s="22" t="inlineStr">
        <is>
          <t>Revisar trimestralmente roles de los tres usuarios y solicitar evidencia de backup y seguridad al proveedor.</t>
        </is>
      </c>
      <c r="E22" s="22" t="inlineStr">
        <is>
          <t>Dirección Administrativa y Financiera</t>
        </is>
      </c>
      <c r="F22" s="22" t="inlineStr">
        <is>
          <t>Proveedor Solution System</t>
        </is>
      </c>
      <c r="G22" s="29" t="n">
        <v>46223</v>
      </c>
      <c r="H22" s="29" t="n">
        <v>46295</v>
      </c>
      <c r="I22" s="22" t="inlineStr">
        <is>
          <t>Roles revisados y evidencia del proveedor recibida</t>
        </is>
      </c>
      <c r="J22" s="22" t="inlineStr">
        <is>
          <t>100% de usuarios; 1 evidencia trimestral</t>
        </is>
      </c>
      <c r="K22" s="22" t="inlineStr">
        <is>
          <t>Acta de revisión y respuesta del proveedor</t>
        </is>
      </c>
      <c r="L22" s="17" t="inlineStr">
        <is>
          <t>Media</t>
        </is>
      </c>
      <c r="M22" s="17" t="inlineStr">
        <is>
          <t>En curso</t>
        </is>
      </c>
      <c r="N22" s="17" t="n">
        <v>1</v>
      </c>
      <c r="O22" s="17" t="n">
        <v>5</v>
      </c>
      <c r="P22" s="17">
        <f>N22*O22</f>
        <v/>
      </c>
      <c r="Q22" s="17">
        <f>IF(P22&gt;=17,"Extremo",IF(P22&gt;=10,"Alto",IF(P22&gt;=5,"Moderado","Bajo")))</f>
        <v/>
      </c>
    </row>
    <row r="23" ht="70" customHeight="1">
      <c r="A23" s="17" t="inlineStr">
        <is>
          <t>PT-19</t>
        </is>
      </c>
      <c r="B23" s="17" t="inlineStr">
        <is>
          <t>R-19</t>
        </is>
      </c>
      <c r="C23" s="17" t="inlineStr">
        <is>
          <t>Alto</t>
        </is>
      </c>
      <c r="D23" s="22" t="inlineStr">
        <is>
          <t>Aplicar lista mensual de actualización, usuarios administradores, plugins, backup y restauración de WordPress.</t>
        </is>
      </c>
      <c r="E23" s="22" t="inlineStr">
        <is>
          <t>TI</t>
        </is>
      </c>
      <c r="F23" s="22" t="inlineStr">
        <is>
          <t>Hosting Latinoamérica</t>
        </is>
      </c>
      <c r="G23" s="29" t="n">
        <v>46223</v>
      </c>
      <c r="H23" s="29" t="n">
        <v>46265</v>
      </c>
      <c r="I23" s="22" t="inlineStr">
        <is>
          <t>Revisiones mensuales del sitio completadas</t>
        </is>
      </c>
      <c r="J23" s="22" t="inlineStr">
        <is>
          <t>100% mensual</t>
        </is>
      </c>
      <c r="K23" s="22" t="inlineStr">
        <is>
          <t>Lista de chequeo y reporte de versiones</t>
        </is>
      </c>
      <c r="L23" s="17" t="inlineStr">
        <is>
          <t>Alta</t>
        </is>
      </c>
      <c r="M23" s="17" t="inlineStr">
        <is>
          <t>En curso</t>
        </is>
      </c>
      <c r="N23" s="17" t="n">
        <v>2</v>
      </c>
      <c r="O23" s="17" t="n">
        <v>4</v>
      </c>
      <c r="P23" s="17">
        <f>N23*O23</f>
        <v/>
      </c>
      <c r="Q23" s="17">
        <f>IF(P23&gt;=17,"Extremo",IF(P23&gt;=10,"Alto",IF(P23&gt;=5,"Moderado","Bajo")))</f>
        <v/>
      </c>
    </row>
    <row r="24" ht="70" customHeight="1">
      <c r="A24" s="17" t="inlineStr">
        <is>
          <t>PT-20</t>
        </is>
      </c>
      <c r="B24" s="17" t="inlineStr">
        <is>
          <t>R-20</t>
        </is>
      </c>
      <c r="C24" s="17" t="inlineStr">
        <is>
          <t>Alto</t>
        </is>
      </c>
      <c r="D24" s="22" t="inlineStr">
        <is>
          <t>Documentar acceso, retención, respaldo y eliminación de datos recibidos por PQRS.</t>
        </is>
      </c>
      <c r="E24" s="22" t="inlineStr">
        <is>
          <t>Dirección Administrativa y Financiera</t>
        </is>
      </c>
      <c r="F24" s="22" t="inlineStr">
        <is>
          <t>Responsable PQRS / TI</t>
        </is>
      </c>
      <c r="G24" s="29" t="n">
        <v>46223</v>
      </c>
      <c r="H24" s="29" t="n">
        <v>46295</v>
      </c>
      <c r="I24" s="22" t="inlineStr">
        <is>
          <t>Flujo de datos PQRS documentado y accesos revisados</t>
        </is>
      </c>
      <c r="J24" s="22" t="inlineStr">
        <is>
          <t>1 procedimiento; 100% de accesos autorizados</t>
        </is>
      </c>
      <c r="K24" s="22" t="inlineStr">
        <is>
          <t>Diagrama, procedimiento y matriz de acceso</t>
        </is>
      </c>
      <c r="L24" s="17" t="inlineStr">
        <is>
          <t>Alta</t>
        </is>
      </c>
      <c r="M24" s="17" t="inlineStr">
        <is>
          <t>Pendiente</t>
        </is>
      </c>
      <c r="N24" s="17" t="n">
        <v>1</v>
      </c>
      <c r="O24" s="17" t="n">
        <v>5</v>
      </c>
      <c r="P24" s="17">
        <f>N24*O24</f>
        <v/>
      </c>
      <c r="Q24" s="17">
        <f>IF(P24&gt;=17,"Extremo",IF(P24&gt;=10,"Alto",IF(P24&gt;=5,"Moderado","Bajo")))</f>
        <v/>
      </c>
    </row>
    <row r="25" ht="70" customHeight="1">
      <c r="A25" s="17" t="inlineStr">
        <is>
          <t>PT-21</t>
        </is>
      </c>
      <c r="B25" s="17" t="inlineStr">
        <is>
          <t>R-21</t>
        </is>
      </c>
      <c r="C25" s="17" t="inlineStr">
        <is>
          <t>Bajo</t>
        </is>
      </c>
      <c r="D25" s="22" t="inlineStr">
        <is>
          <t>Solicitar condiciones de respaldo, recuperación y exportación del hosting y probar una restauración.</t>
        </is>
      </c>
      <c r="E25" s="22" t="inlineStr">
        <is>
          <t>TI</t>
        </is>
      </c>
      <c r="F25" s="22" t="inlineStr">
        <is>
          <t>Hosting Latinoamérica</t>
        </is>
      </c>
      <c r="G25" s="29" t="n">
        <v>46235</v>
      </c>
      <c r="H25" s="29" t="n">
        <v>46371</v>
      </c>
      <c r="I25" s="22" t="inlineStr">
        <is>
          <t>Condiciones verificadas y restauración probada</t>
        </is>
      </c>
      <c r="J25" s="22" t="inlineStr">
        <is>
          <t>1 verificación semestral</t>
        </is>
      </c>
      <c r="K25" s="22" t="inlineStr">
        <is>
          <t>Respuesta del proveedor y acta de prueba</t>
        </is>
      </c>
      <c r="L25" s="17" t="inlineStr">
        <is>
          <t>Baja</t>
        </is>
      </c>
      <c r="M25" s="17" t="inlineStr">
        <is>
          <t>En curso</t>
        </is>
      </c>
      <c r="N25" s="17" t="n">
        <v>1</v>
      </c>
      <c r="O25" s="17" t="n">
        <v>4</v>
      </c>
      <c r="P25" s="17">
        <f>N25*O25</f>
        <v/>
      </c>
      <c r="Q25" s="17">
        <f>IF(P25&gt;=17,"Extremo",IF(P25&gt;=10,"Alto",IF(P25&gt;=5,"Moderado","Bajo")))</f>
        <v/>
      </c>
    </row>
    <row r="26" ht="70" customHeight="1">
      <c r="A26" s="17" t="inlineStr">
        <is>
          <t>PT-22</t>
        </is>
      </c>
      <c r="B26" s="17" t="inlineStr">
        <is>
          <t>R-22</t>
        </is>
      </c>
      <c r="C26" s="17" t="inlineStr">
        <is>
          <t>Alto</t>
        </is>
      </c>
      <c r="D26" s="22" t="inlineStr">
        <is>
          <t>Inventariar cuentas usadas para trabajo y migrar información institucional a cuentas administradas.</t>
        </is>
      </c>
      <c r="E26" s="22" t="inlineStr">
        <is>
          <t>TI</t>
        </is>
      </c>
      <c r="F26" s="22" t="inlineStr">
        <is>
          <t>Dirección Administrativa y Financiera</t>
        </is>
      </c>
      <c r="G26" s="29" t="n">
        <v>46223</v>
      </c>
      <c r="H26" s="29" t="n">
        <v>46326</v>
      </c>
      <c r="I26" s="22" t="inlineStr">
        <is>
          <t>Cuentas institucionales bajo administración</t>
        </is>
      </c>
      <c r="J26" s="22" t="inlineStr">
        <is>
          <t>100% de cuentas de trabajo</t>
        </is>
      </c>
      <c r="K26" s="22" t="inlineStr">
        <is>
          <t>Inventario y acta de migración/cierre</t>
        </is>
      </c>
      <c r="L26" s="17" t="inlineStr">
        <is>
          <t>Alta</t>
        </is>
      </c>
      <c r="M26" s="17" t="inlineStr">
        <is>
          <t>Pendiente</t>
        </is>
      </c>
      <c r="N26" s="17" t="n">
        <v>1</v>
      </c>
      <c r="O26" s="17" t="n">
        <v>4</v>
      </c>
      <c r="P26" s="17">
        <f>N26*O26</f>
        <v/>
      </c>
      <c r="Q26" s="17">
        <f>IF(P26&gt;=17,"Extremo",IF(P26&gt;=10,"Alto",IF(P26&gt;=5,"Moderado","Bajo")))</f>
        <v/>
      </c>
    </row>
    <row r="27" ht="70" customHeight="1">
      <c r="A27" s="17" t="inlineStr">
        <is>
          <t>PT-23</t>
        </is>
      </c>
      <c r="B27" s="17" t="inlineStr">
        <is>
          <t>R-23</t>
        </is>
      </c>
      <c r="C27" s="17" t="inlineStr">
        <is>
          <t>Alto</t>
        </is>
      </c>
      <c r="D27" s="22" t="inlineStr">
        <is>
          <t>Realizar y documentar monitoreo trimestral de ataques, alertas y accesos al sitio web.</t>
        </is>
      </c>
      <c r="E27" s="22" t="inlineStr">
        <is>
          <t>TI</t>
        </is>
      </c>
      <c r="F27" s="22" t="inlineStr">
        <is>
          <t>Hosting Latinoamérica</t>
        </is>
      </c>
      <c r="G27" s="29" t="n">
        <v>46223</v>
      </c>
      <c r="H27" s="29" t="n">
        <v>46295</v>
      </c>
      <c r="I27" s="22" t="inlineStr">
        <is>
          <t>Monitoreos documentados</t>
        </is>
      </c>
      <c r="J27" s="22" t="inlineStr">
        <is>
          <t>1 por trimestre</t>
        </is>
      </c>
      <c r="K27" s="22" t="inlineStr">
        <is>
          <t>Informe trimestral y capturas de seguridad</t>
        </is>
      </c>
      <c r="L27" s="17" t="inlineStr">
        <is>
          <t>Alta</t>
        </is>
      </c>
      <c r="M27" s="17" t="inlineStr">
        <is>
          <t>Pendiente</t>
        </is>
      </c>
      <c r="N27" s="17" t="n">
        <v>2</v>
      </c>
      <c r="O27" s="17" t="n">
        <v>3</v>
      </c>
      <c r="P27" s="17">
        <f>N27*O27</f>
        <v/>
      </c>
      <c r="Q27" s="17">
        <f>IF(P27&gt;=17,"Extremo",IF(P27&gt;=10,"Alto",IF(P27&gt;=5,"Moderado","Bajo")))</f>
        <v/>
      </c>
    </row>
    <row r="28" ht="70" customHeight="1">
      <c r="A28" s="17" t="inlineStr">
        <is>
          <t>PT-24</t>
        </is>
      </c>
      <c r="B28" s="17" t="inlineStr">
        <is>
          <t>R-24</t>
        </is>
      </c>
      <c r="C28" s="17" t="inlineStr">
        <is>
          <t>Alto</t>
        </is>
      </c>
      <c r="D28" s="22" t="inlineStr">
        <is>
          <t>Definir protocolo de visitantes y evitar exposición de equipos, documentos y sesiones durante atención al público.</t>
        </is>
      </c>
      <c r="E28" s="22" t="inlineStr">
        <is>
          <t>Dirección Administrativa y Financiera</t>
        </is>
      </c>
      <c r="F28" s="22" t="inlineStr">
        <is>
          <t>Todos los usuarios</t>
        </is>
      </c>
      <c r="G28" s="29" t="n">
        <v>46223</v>
      </c>
      <c r="H28" s="29" t="n">
        <v>46295</v>
      </c>
      <c r="I28" s="22" t="inlineStr">
        <is>
          <t>Controles físicos y protocolo implementados</t>
        </is>
      </c>
      <c r="J28" s="22" t="inlineStr">
        <is>
          <t>100% de áreas críticas</t>
        </is>
      </c>
      <c r="K28" s="22" t="inlineStr">
        <is>
          <t>Protocolo y lista de verificación</t>
        </is>
      </c>
      <c r="L28" s="17" t="inlineStr">
        <is>
          <t>Alta</t>
        </is>
      </c>
      <c r="M28" s="17" t="inlineStr">
        <is>
          <t>En curso</t>
        </is>
      </c>
      <c r="N28" s="17" t="n">
        <v>2</v>
      </c>
      <c r="O28" s="17" t="n">
        <v>4</v>
      </c>
      <c r="P28" s="17">
        <f>N28*O28</f>
        <v/>
      </c>
      <c r="Q28" s="17">
        <f>IF(P28&gt;=17,"Extremo",IF(P28&gt;=10,"Alto",IF(P28&gt;=5,"Moderado","Bajo")))</f>
        <v/>
      </c>
    </row>
    <row r="29" ht="70" customHeight="1">
      <c r="A29" s="17" t="inlineStr">
        <is>
          <t>PT-25</t>
        </is>
      </c>
      <c r="B29" s="17" t="inlineStr">
        <is>
          <t>R-25</t>
        </is>
      </c>
      <c r="C29" s="17" t="inlineStr">
        <is>
          <t>Alto</t>
        </is>
      </c>
      <c r="D29" s="22" t="inlineStr">
        <is>
          <t>Acordar con Computar S.A.S. borrado seguro o certificación antes de devolución o sustitución de equipos.</t>
        </is>
      </c>
      <c r="E29" s="22" t="inlineStr">
        <is>
          <t>TI</t>
        </is>
      </c>
      <c r="F29" s="22" t="inlineStr">
        <is>
          <t>Computar S.A.S.</t>
        </is>
      </c>
      <c r="G29" s="29" t="n">
        <v>46235</v>
      </c>
      <c r="H29" s="29" t="n">
        <v>46295</v>
      </c>
      <c r="I29" s="22" t="inlineStr">
        <is>
          <t>Equipos devueltos con evidencia de borrado</t>
        </is>
      </c>
      <c r="J29" s="22" t="inlineStr">
        <is>
          <t>100% por evento</t>
        </is>
      </c>
      <c r="K29" s="22" t="inlineStr">
        <is>
          <t>Formato o certificado de borrado</t>
        </is>
      </c>
      <c r="L29" s="17" t="inlineStr">
        <is>
          <t>Alta</t>
        </is>
      </c>
      <c r="M29" s="17" t="inlineStr">
        <is>
          <t>Pendiente</t>
        </is>
      </c>
      <c r="N29" s="17" t="n">
        <v>1</v>
      </c>
      <c r="O29" s="17" t="n">
        <v>4</v>
      </c>
      <c r="P29" s="17">
        <f>N29*O29</f>
        <v/>
      </c>
      <c r="Q29" s="17">
        <f>IF(P29&gt;=17,"Extremo",IF(P29&gt;=10,"Alto",IF(P29&gt;=5,"Moderado","Bajo")))</f>
        <v/>
      </c>
    </row>
    <row r="30" ht="70" customHeight="1">
      <c r="A30" s="17" t="inlineStr">
        <is>
          <t>PT-26</t>
        </is>
      </c>
      <c r="B30" s="17" t="inlineStr">
        <is>
          <t>R-26</t>
        </is>
      </c>
      <c r="C30" s="17" t="inlineStr">
        <is>
          <t>Alto</t>
        </is>
      </c>
      <c r="D30" s="22" t="inlineStr">
        <is>
          <t>Validar y, si es viable, segmentar técnicamente CCTV y red de datos.</t>
        </is>
      </c>
      <c r="E30" s="22" t="inlineStr">
        <is>
          <t>TI</t>
        </is>
      </c>
      <c r="F30" s="22" t="inlineStr">
        <is>
          <t>Movistar / proveedor CCTV</t>
        </is>
      </c>
      <c r="G30" s="29" t="n">
        <v>46235</v>
      </c>
      <c r="H30" s="29" t="n">
        <v>46295</v>
      </c>
      <c r="I30" s="22" t="inlineStr">
        <is>
          <t>Segmentación evaluada e implementada o riesgo aceptado</t>
        </is>
      </c>
      <c r="J30" s="22" t="inlineStr">
        <is>
          <t>1 evaluación y decisión</t>
        </is>
      </c>
      <c r="K30" s="22" t="inlineStr">
        <is>
          <t>Informe técnico</t>
        </is>
      </c>
      <c r="L30" s="17" t="inlineStr">
        <is>
          <t>Alta</t>
        </is>
      </c>
      <c r="M30" s="17" t="inlineStr">
        <is>
          <t>Pendiente</t>
        </is>
      </c>
      <c r="N30" s="17" t="n">
        <v>1</v>
      </c>
      <c r="O30" s="17" t="n">
        <v>4</v>
      </c>
      <c r="P30" s="17">
        <f>N30*O30</f>
        <v/>
      </c>
      <c r="Q30" s="17">
        <f>IF(P30&gt;=17,"Extremo",IF(P30&gt;=10,"Alto",IF(P30&gt;=5,"Moderado","Bajo")))</f>
        <v/>
      </c>
    </row>
  </sheetData>
  <autoFilter ref="A4:Q30"/>
  <mergeCells count="2">
    <mergeCell ref="A2:Q2"/>
    <mergeCell ref="A1:Q1"/>
  </mergeCells>
  <conditionalFormatting sqref="C5:C30">
    <cfRule type="expression" priority="1" dxfId="0">
      <formula>$C5="Bajo"</formula>
    </cfRule>
    <cfRule type="expression" priority="2" dxfId="1">
      <formula>$C5="Moderado"</formula>
    </cfRule>
    <cfRule type="expression" priority="3" dxfId="2">
      <formula>$C5="Alto"</formula>
    </cfRule>
    <cfRule type="expression" priority="4" dxfId="3">
      <formula>$C5="Extremo"</formula>
    </cfRule>
  </conditionalFormatting>
  <conditionalFormatting sqref="Q5:Q30">
    <cfRule type="expression" priority="5" dxfId="0">
      <formula>$Q5="Bajo"</formula>
    </cfRule>
    <cfRule type="expression" priority="6" dxfId="1">
      <formula>$Q5="Moderado"</formula>
    </cfRule>
    <cfRule type="expression" priority="7" dxfId="2">
      <formula>$Q5="Alto"</formula>
    </cfRule>
    <cfRule type="expression" priority="8" dxfId="3">
      <formula>$Q5="Extremo"</formula>
    </cfRule>
  </conditionalFormatting>
  <pageMargins left="0.75" right="0.75" top="1" bottom="1" header="0.5" footer="0.5"/>
  <pageSetup orientation="landscape" fitToHeight="0" fitToWidth="1"/>
  <headerFooter>
    <oddHeader/>
    <oddFooter>&amp;C&amp;8 Promueve Más S.A.S. | Vigencia 2026 |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" customWidth="1" min="1" max="1"/>
    <col width="48" customWidth="1" min="2" max="2"/>
    <col width="30" customWidth="1" min="3" max="3"/>
    <col width="35" customWidth="1" min="4" max="4"/>
    <col width="30" customWidth="1" min="5" max="5"/>
    <col width="16" customWidth="1" min="6" max="6"/>
    <col width="25" customWidth="1" min="7" max="7"/>
    <col width="38" customWidth="1" min="8" max="8"/>
    <col width="26" customWidth="1" min="9" max="9"/>
    <col width="35" customWidth="1" min="10" max="10"/>
  </cols>
  <sheetData>
    <row r="1" ht="28" customHeight="1">
      <c r="A1" s="1" t="inlineStr">
        <is>
          <t>CRONOGRAMA Y SEGUIMIENTO 2026</t>
        </is>
      </c>
    </row>
    <row r="2" ht="22" customHeight="1">
      <c r="A2" s="2" t="inlineStr">
        <is>
          <t>Plan de Tratamiento de Riesgos de Seguridad y Privacidad de la Información</t>
        </is>
      </c>
    </row>
    <row r="4" ht="32" customHeight="1">
      <c r="A4" s="15" t="inlineStr">
        <is>
          <t>Actividad ID</t>
        </is>
      </c>
      <c r="B4" s="15" t="inlineStr">
        <is>
          <t>Actividad</t>
        </is>
      </c>
      <c r="C4" s="15" t="inlineStr">
        <is>
          <t>Meta</t>
        </is>
      </c>
      <c r="D4" s="15" t="inlineStr">
        <is>
          <t>Indicador</t>
        </is>
      </c>
      <c r="E4" s="15" t="inlineStr">
        <is>
          <t>Responsable</t>
        </is>
      </c>
      <c r="F4" s="15" t="inlineStr">
        <is>
          <t>Fecha programada</t>
        </is>
      </c>
      <c r="G4" s="15" t="inlineStr">
        <is>
          <t>Estado</t>
        </is>
      </c>
      <c r="H4" s="15" t="inlineStr">
        <is>
          <t>Evidencia requerida</t>
        </is>
      </c>
      <c r="I4" s="15" t="inlineStr">
        <is>
          <t>Periodicidad</t>
        </is>
      </c>
      <c r="J4" s="15" t="inlineStr">
        <is>
          <t>Observación / avance</t>
        </is>
      </c>
    </row>
    <row r="5" ht="62" customHeight="1">
      <c r="A5" s="17" t="inlineStr">
        <is>
          <t>ACT-01</t>
        </is>
      </c>
      <c r="B5" s="22" t="inlineStr">
        <is>
          <t>Actualizar el plan de tratamiento de riesgos de la información para la vigencia 2026</t>
        </is>
      </c>
      <c r="C5" s="22" t="inlineStr">
        <is>
          <t>Plan actualizado</t>
        </is>
      </c>
      <c r="D5" s="22" t="inlineStr">
        <is>
          <t>Acto o evidencia de aprobación del plan</t>
        </is>
      </c>
      <c r="E5" s="22" t="inlineStr">
        <is>
          <t>Dirección Administrativa y Financiera</t>
        </is>
      </c>
      <c r="F5" s="29" t="n">
        <v>46081</v>
      </c>
      <c r="G5" s="17" t="inlineStr">
        <is>
          <t>Programado / estado por confirmar</t>
        </is>
      </c>
      <c r="H5" s="22" t="inlineStr">
        <is>
          <t>Plan firmado o acto administrativo</t>
        </is>
      </c>
      <c r="I5" s="17" t="inlineStr">
        <is>
          <t>Anual</t>
        </is>
      </c>
      <c r="J5" s="22" t="inlineStr"/>
    </row>
    <row r="6" ht="62" customHeight="1">
      <c r="A6" s="17" t="inlineStr">
        <is>
          <t>ACT-02</t>
        </is>
      </c>
      <c r="B6" s="22" t="inlineStr">
        <is>
          <t>Definir la matriz de riesgos informáticos y establecer controles</t>
        </is>
      </c>
      <c r="C6" s="22" t="inlineStr">
        <is>
          <t>Matriz implementada y seguimiento trimestral</t>
        </is>
      </c>
      <c r="D6" s="22" t="inlineStr">
        <is>
          <t>N.° de seguimientos posteriores a la implementación</t>
        </is>
      </c>
      <c r="E6" s="22" t="inlineStr">
        <is>
          <t>Dirección Administrativa y Financiera</t>
        </is>
      </c>
      <c r="F6" s="29" t="n">
        <v>46203</v>
      </c>
      <c r="G6" s="17" t="inlineStr">
        <is>
          <t>En ejecución</t>
        </is>
      </c>
      <c r="H6" s="22" t="inlineStr">
        <is>
          <t>Matriz, plan de tratamiento e informe trimestral</t>
        </is>
      </c>
      <c r="I6" s="17" t="inlineStr">
        <is>
          <t>Junio; seguimiento septiembre y diciembre</t>
        </is>
      </c>
      <c r="J6" s="22" t="inlineStr"/>
    </row>
    <row r="7" ht="62" customHeight="1">
      <c r="A7" s="17" t="inlineStr">
        <is>
          <t>ACT-03</t>
        </is>
      </c>
      <c r="B7" s="22" t="inlineStr">
        <is>
          <t>Monitorear ataques cibernéticos a la página institucional</t>
        </is>
      </c>
      <c r="C7" s="22" t="inlineStr">
        <is>
          <t>Monitoreo trimestral</t>
        </is>
      </c>
      <c r="D7" s="22" t="inlineStr">
        <is>
          <t>N.° de monitoreos realizados</t>
        </is>
      </c>
      <c r="E7" s="22" t="inlineStr">
        <is>
          <t>Dirección Administrativa y Financiera / TI</t>
        </is>
      </c>
      <c r="F7" s="29" t="n">
        <v>46112</v>
      </c>
      <c r="G7" s="17" t="inlineStr">
        <is>
          <t>Evidencia por registrar</t>
        </is>
      </c>
      <c r="H7" s="22" t="inlineStr">
        <is>
          <t>Reporte de hosting, accesos, alertas y acciones</t>
        </is>
      </c>
      <c r="I7" s="17" t="inlineStr">
        <is>
          <t>Marzo, junio, septiembre y diciembre</t>
        </is>
      </c>
      <c r="J7" s="22" t="inlineStr"/>
    </row>
    <row r="8" ht="62" customHeight="1">
      <c r="A8" s="17" t="inlineStr">
        <is>
          <t>ACT-03</t>
        </is>
      </c>
      <c r="B8" s="22" t="inlineStr">
        <is>
          <t>Monitorear ataques cibernéticos a la página institucional</t>
        </is>
      </c>
      <c r="C8" s="22" t="inlineStr">
        <is>
          <t>Monitoreo trimestral</t>
        </is>
      </c>
      <c r="D8" s="22" t="inlineStr">
        <is>
          <t>N.° de monitoreos realizados</t>
        </is>
      </c>
      <c r="E8" s="22" t="inlineStr">
        <is>
          <t>Dirección Administrativa y Financiera / TI</t>
        </is>
      </c>
      <c r="F8" s="29" t="n">
        <v>46203</v>
      </c>
      <c r="G8" s="17" t="inlineStr">
        <is>
          <t>Evidencia por registrar</t>
        </is>
      </c>
      <c r="H8" s="22" t="inlineStr">
        <is>
          <t>Reporte de hosting, accesos, alertas y acciones</t>
        </is>
      </c>
      <c r="I8" s="17" t="inlineStr">
        <is>
          <t>Marzo, junio, septiembre y diciembre</t>
        </is>
      </c>
      <c r="J8" s="22" t="inlineStr"/>
    </row>
    <row r="9" ht="62" customHeight="1">
      <c r="A9" s="17" t="inlineStr">
        <is>
          <t>ACT-03</t>
        </is>
      </c>
      <c r="B9" s="22" t="inlineStr">
        <is>
          <t>Monitorear ataques cibernéticos a la página institucional</t>
        </is>
      </c>
      <c r="C9" s="22" t="inlineStr">
        <is>
          <t>Monitoreo trimestral</t>
        </is>
      </c>
      <c r="D9" s="22" t="inlineStr">
        <is>
          <t>N.° de monitoreos realizados</t>
        </is>
      </c>
      <c r="E9" s="22" t="inlineStr">
        <is>
          <t>Dirección Administrativa y Financiera / TI</t>
        </is>
      </c>
      <c r="F9" s="29" t="n">
        <v>46295</v>
      </c>
      <c r="G9" s="17" t="inlineStr">
        <is>
          <t>Programado</t>
        </is>
      </c>
      <c r="H9" s="22" t="inlineStr">
        <is>
          <t>Reporte de hosting, accesos, alertas y acciones</t>
        </is>
      </c>
      <c r="I9" s="17" t="inlineStr">
        <is>
          <t>Marzo, junio, septiembre y diciembre</t>
        </is>
      </c>
      <c r="J9" s="22" t="inlineStr"/>
    </row>
    <row r="10" ht="62" customHeight="1">
      <c r="A10" s="17" t="inlineStr">
        <is>
          <t>ACT-03</t>
        </is>
      </c>
      <c r="B10" s="22" t="inlineStr">
        <is>
          <t>Monitorear ataques cibernéticos a la página institucional</t>
        </is>
      </c>
      <c r="C10" s="22" t="inlineStr">
        <is>
          <t>Monitoreo trimestral</t>
        </is>
      </c>
      <c r="D10" s="22" t="inlineStr">
        <is>
          <t>N.° de monitoreos realizados</t>
        </is>
      </c>
      <c r="E10" s="22" t="inlineStr">
        <is>
          <t>Dirección Administrativa y Financiera / TI</t>
        </is>
      </c>
      <c r="F10" s="29" t="n">
        <v>46371</v>
      </c>
      <c r="G10" s="17" t="inlineStr">
        <is>
          <t>Programado</t>
        </is>
      </c>
      <c r="H10" s="22" t="inlineStr">
        <is>
          <t>Reporte de hosting, accesos, alertas y acciones</t>
        </is>
      </c>
      <c r="I10" s="17" t="inlineStr">
        <is>
          <t>Marzo, junio, septiembre y diciembre</t>
        </is>
      </c>
      <c r="J10" s="22" t="inlineStr"/>
    </row>
    <row r="11" ht="62" customHeight="1">
      <c r="A11" s="17" t="inlineStr">
        <is>
          <t>ACT-04</t>
        </is>
      </c>
      <c r="B11" s="22" t="inlineStr">
        <is>
          <t>Capacitación en gestión de riesgos y seguridad digital</t>
        </is>
      </c>
      <c r="C11" s="22" t="inlineStr">
        <is>
          <t>Una capacitación semestral</t>
        </is>
      </c>
      <c r="D11" s="22" t="inlineStr">
        <is>
          <t>N.° de capacitaciones realizadas</t>
        </is>
      </c>
      <c r="E11" s="22" t="inlineStr">
        <is>
          <t>Dirección Administrativa y Financiera</t>
        </is>
      </c>
      <c r="F11" s="29" t="n">
        <v>46203</v>
      </c>
      <c r="G11" s="17" t="inlineStr">
        <is>
          <t>Pendiente de confirmación de MinTIC</t>
        </is>
      </c>
      <c r="H11" s="22" t="inlineStr">
        <is>
          <t>Convocatoria, material y asistencia</t>
        </is>
      </c>
      <c r="I11" s="17" t="inlineStr">
        <is>
          <t>Junio y diciembre</t>
        </is>
      </c>
      <c r="J11" s="22" t="inlineStr"/>
    </row>
    <row r="12" ht="62" customHeight="1">
      <c r="A12" s="17" t="inlineStr">
        <is>
          <t>ACT-04</t>
        </is>
      </c>
      <c r="B12" s="22" t="inlineStr">
        <is>
          <t>Capacitación en gestión de riesgos y seguridad digital</t>
        </is>
      </c>
      <c r="C12" s="22" t="inlineStr">
        <is>
          <t>Una capacitación semestral</t>
        </is>
      </c>
      <c r="D12" s="22" t="inlineStr">
        <is>
          <t>N.° de capacitaciones realizadas</t>
        </is>
      </c>
      <c r="E12" s="22" t="inlineStr">
        <is>
          <t>Dirección Administrativa y Financiera</t>
        </is>
      </c>
      <c r="F12" s="29" t="n">
        <v>46371</v>
      </c>
      <c r="G12" s="17" t="inlineStr">
        <is>
          <t>Programado</t>
        </is>
      </c>
      <c r="H12" s="22" t="inlineStr">
        <is>
          <t>Convocatoria, material y asistencia</t>
        </is>
      </c>
      <c r="I12" s="17" t="inlineStr">
        <is>
          <t>Junio y diciembre</t>
        </is>
      </c>
      <c r="J12" s="22" t="inlineStr"/>
    </row>
    <row r="13" ht="62" customHeight="1">
      <c r="A13" s="17" t="inlineStr">
        <is>
          <t>ACT-05</t>
        </is>
      </c>
      <c r="B13" s="22" t="inlineStr">
        <is>
          <t>Seguimiento al cumplimiento del plan anual</t>
        </is>
      </c>
      <c r="C13" s="22" t="inlineStr">
        <is>
          <t>Seguimiento semestral</t>
        </is>
      </c>
      <c r="D13" s="22" t="inlineStr">
        <is>
          <t>N.° de seguimientos realizados</t>
        </is>
      </c>
      <c r="E13" s="22" t="inlineStr">
        <is>
          <t>Dirección Administrativa y Financiera</t>
        </is>
      </c>
      <c r="F13" s="29" t="n">
        <v>46203</v>
      </c>
      <c r="G13" s="17" t="inlineStr">
        <is>
          <t>Evidencia por consolidar</t>
        </is>
      </c>
      <c r="H13" s="22" t="inlineStr">
        <is>
          <t>Informe semestral de seguimiento</t>
        </is>
      </c>
      <c r="I13" s="17" t="inlineStr">
        <is>
          <t>Junio y diciembre</t>
        </is>
      </c>
      <c r="J13" s="22" t="inlineStr"/>
    </row>
    <row r="14" ht="62" customHeight="1">
      <c r="A14" s="17" t="inlineStr">
        <is>
          <t>ACT-05</t>
        </is>
      </c>
      <c r="B14" s="22" t="inlineStr">
        <is>
          <t>Seguimiento al cumplimiento del plan anual</t>
        </is>
      </c>
      <c r="C14" s="22" t="inlineStr">
        <is>
          <t>Seguimiento semestral</t>
        </is>
      </c>
      <c r="D14" s="22" t="inlineStr">
        <is>
          <t>N.° de seguimientos realizados</t>
        </is>
      </c>
      <c r="E14" s="22" t="inlineStr">
        <is>
          <t>Dirección Administrativa y Financiera</t>
        </is>
      </c>
      <c r="F14" s="29" t="n">
        <v>46371</v>
      </c>
      <c r="G14" s="17" t="inlineStr">
        <is>
          <t>Programado</t>
        </is>
      </c>
      <c r="H14" s="22" t="inlineStr">
        <is>
          <t>Informe de cierre</t>
        </is>
      </c>
      <c r="I14" s="17" t="inlineStr">
        <is>
          <t>Junio y diciembre</t>
        </is>
      </c>
      <c r="J14" s="22" t="inlineStr"/>
    </row>
    <row r="15" ht="62" customHeight="1">
      <c r="A15" s="17" t="inlineStr">
        <is>
          <t>ACT-02-S1</t>
        </is>
      </c>
      <c r="B15" s="22" t="inlineStr">
        <is>
          <t>Seguimiento trimestral de la matriz y controles</t>
        </is>
      </c>
      <c r="C15" s="22" t="inlineStr">
        <is>
          <t>Revisar riesgos y acciones</t>
        </is>
      </c>
      <c r="D15" s="22" t="inlineStr">
        <is>
          <t>Porcentaje de acciones con avance y riesgos revalorados</t>
        </is>
      </c>
      <c r="E15" s="22" t="inlineStr">
        <is>
          <t>Dirección Administrativa y Financiera / TI</t>
        </is>
      </c>
      <c r="F15" s="29" t="n">
        <v>46295</v>
      </c>
      <c r="G15" s="17" t="inlineStr">
        <is>
          <t>Programado</t>
        </is>
      </c>
      <c r="H15" s="22" t="inlineStr">
        <is>
          <t>Acta de seguimiento y matriz actualizada</t>
        </is>
      </c>
      <c r="I15" s="17" t="inlineStr">
        <is>
          <t>Trimestral desde la implementación</t>
        </is>
      </c>
      <c r="J15" s="22" t="inlineStr"/>
    </row>
    <row r="16" ht="62" customHeight="1">
      <c r="A16" s="17" t="inlineStr">
        <is>
          <t>ACT-02-S2</t>
        </is>
      </c>
      <c r="B16" s="22" t="inlineStr">
        <is>
          <t>Seguimiento trimestral de la matriz y controles</t>
        </is>
      </c>
      <c r="C16" s="22" t="inlineStr">
        <is>
          <t>Revisar riesgos y acciones</t>
        </is>
      </c>
      <c r="D16" s="22" t="inlineStr">
        <is>
          <t>Porcentaje de acciones con avance y riesgos revalorados</t>
        </is>
      </c>
      <c r="E16" s="22" t="inlineStr">
        <is>
          <t>Dirección Administrativa y Financiera / TI</t>
        </is>
      </c>
      <c r="F16" s="29" t="n">
        <v>46371</v>
      </c>
      <c r="G16" s="17" t="inlineStr">
        <is>
          <t>Programado</t>
        </is>
      </c>
      <c r="H16" s="22" t="inlineStr">
        <is>
          <t>Acta de seguimiento y matriz actualizada</t>
        </is>
      </c>
      <c r="I16" s="17" t="inlineStr">
        <is>
          <t>Trimestral desde la implementación</t>
        </is>
      </c>
      <c r="J16" s="22" t="inlineStr"/>
    </row>
  </sheetData>
  <autoFilter ref="A4:J16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&amp;C&amp;8 Promueve Más S.A.S. | Vigencia 2026 |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selection activeCell="A1" sqref="A1"/>
    </sheetView>
  </sheetViews>
  <sheetFormatPr baseColWidth="8" defaultRowHeight="15" outlineLevelCol="0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8" customHeight="1">
      <c r="A1" s="1" t="inlineStr">
        <is>
          <t>METODOLOGÍA DE VALORACIÓN</t>
        </is>
      </c>
    </row>
    <row r="2" ht="22" customHeight="1">
      <c r="A2" s="2" t="inlineStr">
        <is>
          <t>Criterios aplicados a la Matriz de Riesgos Informáticos de Promueve Más S.A.S.</t>
        </is>
      </c>
    </row>
    <row r="4">
      <c r="A4" s="30" t="inlineStr">
        <is>
          <t>1. Probabilidad (P)</t>
        </is>
      </c>
    </row>
    <row r="5" ht="32" customHeight="1">
      <c r="A5" s="31" t="inlineStr">
        <is>
          <t>1 - Rara</t>
        </is>
      </c>
      <c r="B5" s="22" t="inlineStr">
        <is>
          <t>No se espera en la vigencia o solo en circunstancias excepcionales.</t>
        </is>
      </c>
    </row>
    <row r="6" ht="32" customHeight="1">
      <c r="A6" s="31" t="inlineStr">
        <is>
          <t>2 - Improbable</t>
        </is>
      </c>
      <c r="B6" s="22" t="inlineStr">
        <is>
          <t>Podría ocurrir, pero no hay señales frecuentes o antecedentes recientes.</t>
        </is>
      </c>
    </row>
    <row r="7" ht="32" customHeight="1">
      <c r="A7" s="31" t="inlineStr">
        <is>
          <t>3 - Posible</t>
        </is>
      </c>
      <c r="B7" s="22" t="inlineStr">
        <is>
          <t>Puede ocurrir durante la vigencia dadas las condiciones actuales.</t>
        </is>
      </c>
    </row>
    <row r="8" ht="32" customHeight="1">
      <c r="A8" s="31" t="inlineStr">
        <is>
          <t>4 - Probable</t>
        </is>
      </c>
      <c r="B8" s="22" t="inlineStr">
        <is>
          <t>Es factible y existen debilidades que favorecen su ocurrencia.</t>
        </is>
      </c>
    </row>
    <row r="9" ht="32" customHeight="1">
      <c r="A9" s="31" t="inlineStr">
        <is>
          <t>5 - Casi segura</t>
        </is>
      </c>
      <c r="B9" s="22" t="inlineStr">
        <is>
          <t>Se espera que ocurra o la exposición es continua y evidente.</t>
        </is>
      </c>
    </row>
    <row r="11">
      <c r="A11" s="30" t="inlineStr">
        <is>
          <t>2. Impacto (I)</t>
        </is>
      </c>
    </row>
    <row r="12" ht="32" customHeight="1">
      <c r="A12" s="31" t="inlineStr">
        <is>
          <t>1 - Insignificante</t>
        </is>
      </c>
      <c r="B12" s="22" t="inlineStr">
        <is>
          <t>Afectación mínima, recuperación inmediata y sin datos sensibles.</t>
        </is>
      </c>
    </row>
    <row r="13" ht="32" customHeight="1">
      <c r="A13" s="31" t="inlineStr">
        <is>
          <t>2 - Menor</t>
        </is>
      </c>
      <c r="B13" s="22" t="inlineStr">
        <is>
          <t>Interrupción limitada, sin consecuencias legales o financieras relevantes.</t>
        </is>
      </c>
    </row>
    <row r="14" ht="32" customHeight="1">
      <c r="A14" s="31" t="inlineStr">
        <is>
          <t>3 - Moderado</t>
        </is>
      </c>
      <c r="B14" s="22" t="inlineStr">
        <is>
          <t>Interrupción de hasta dos días o afectación interna que requiere gestión.</t>
        </is>
      </c>
    </row>
    <row r="15" ht="32" customHeight="1">
      <c r="A15" s="31" t="inlineStr">
        <is>
          <t>4 - Mayor</t>
        </is>
      </c>
      <c r="B15" s="22" t="inlineStr">
        <is>
          <t>Afectación de información sensible, operación, reputación o datos personales.</t>
        </is>
      </c>
    </row>
    <row r="16" ht="32" customHeight="1">
      <c r="A16" s="31" t="inlineStr">
        <is>
          <t>5 - Catastrófico</t>
        </is>
      </c>
      <c r="B16" s="22" t="inlineStr">
        <is>
          <t>Fraude, pérdida grave, indisponibilidad prolongada o consecuencias legales significativas.</t>
        </is>
      </c>
    </row>
    <row r="18">
      <c r="A18" s="30" t="inlineStr">
        <is>
          <t>3. Niveles de riesgo (P × I)</t>
        </is>
      </c>
    </row>
    <row r="19" ht="32" customHeight="1">
      <c r="A19" s="31" t="inlineStr">
        <is>
          <t>Bajo (1–4)</t>
        </is>
      </c>
      <c r="B19" s="22" t="inlineStr">
        <is>
          <t>Puede aceptarse y monitorearse.</t>
        </is>
      </c>
    </row>
    <row r="20" ht="32" customHeight="1">
      <c r="A20" s="31" t="inlineStr">
        <is>
          <t>Moderado (5–9)</t>
        </is>
      </c>
      <c r="B20" s="22" t="inlineStr">
        <is>
          <t>Requiere control o aceptación justificada.</t>
        </is>
      </c>
    </row>
    <row r="21" ht="32" customHeight="1">
      <c r="A21" s="31" t="inlineStr">
        <is>
          <t>Alto (10–16)</t>
        </is>
      </c>
      <c r="B21" s="22" t="inlineStr">
        <is>
          <t>Requiere plan de tratamiento y seguimiento trimestral.</t>
        </is>
      </c>
    </row>
    <row r="22" ht="32" customHeight="1">
      <c r="A22" s="31" t="inlineStr">
        <is>
          <t>Extremo (17–25)</t>
        </is>
      </c>
      <c r="B22" s="22" t="inlineStr">
        <is>
          <t>Requiere acción inmediata y decisión de Gerencia.</t>
        </is>
      </c>
    </row>
    <row r="24">
      <c r="A24" s="30" t="inlineStr">
        <is>
          <t>4. Efectividad de controles</t>
        </is>
      </c>
    </row>
    <row r="25" ht="32" customHeight="1">
      <c r="A25" s="31" t="inlineStr">
        <is>
          <t>Diseño</t>
        </is>
      </c>
      <c r="B25" s="22" t="inlineStr">
        <is>
          <t>Calidad del control definido: 0 inexistente, 25 incipiente, 50 parcial, 75 adecuado, 100 robusto.</t>
        </is>
      </c>
    </row>
    <row r="26" ht="32" customHeight="1">
      <c r="A26" s="31" t="inlineStr">
        <is>
          <t>Ejecución</t>
        </is>
      </c>
      <c r="B26" s="22" t="inlineStr">
        <is>
          <t>Aplicación real y evidencia: 0 no ejecutado, 25 ocasional, 50 parcial, 75 consistente, 100 probado.</t>
        </is>
      </c>
    </row>
    <row r="27" ht="32" customHeight="1">
      <c r="A27" s="31" t="inlineStr">
        <is>
          <t>Efectividad</t>
        </is>
      </c>
      <c r="B27" s="22" t="inlineStr">
        <is>
          <t>Promedio entre diseño y ejecución. No reemplaza la valoración profesional del riesgo residual.</t>
        </is>
      </c>
    </row>
    <row r="29">
      <c r="A29" s="30" t="inlineStr">
        <is>
          <t>5. Criticidad de activos</t>
        </is>
      </c>
    </row>
    <row r="30" ht="32" customHeight="1">
      <c r="A30" s="31" t="inlineStr">
        <is>
          <t>Confidencialidad</t>
        </is>
      </c>
      <c r="B30" s="22" t="inlineStr">
        <is>
          <t>1 pública o de baja sensibilidad; 2 interna; 3 confidencial o con datos personales/financieros.</t>
        </is>
      </c>
    </row>
    <row r="31" ht="32" customHeight="1">
      <c r="A31" s="31" t="inlineStr">
        <is>
          <t>Integridad</t>
        </is>
      </c>
      <c r="B31" s="22" t="inlineStr">
        <is>
          <t>1 cambios menores tolerables; 2 exactitud importante; 3 alteración podría causar decisiones, fraude o incumplimiento.</t>
        </is>
      </c>
    </row>
    <row r="32" ht="32" customHeight="1">
      <c r="A32" s="31" t="inlineStr">
        <is>
          <t>Disponibilidad</t>
        </is>
      </c>
      <c r="B32" s="22" t="inlineStr">
        <is>
          <t>1 interrupción tolerable; 2 interrupción afecta el trabajo; 3 recurso esencial para la operación.</t>
        </is>
      </c>
    </row>
    <row r="34">
      <c r="A34" s="30" t="inlineStr">
        <is>
          <t>6. Tratamientos</t>
        </is>
      </c>
    </row>
    <row r="35" ht="32" customHeight="1">
      <c r="A35" s="31" t="inlineStr">
        <is>
          <t>Evitar</t>
        </is>
      </c>
      <c r="B35" s="22" t="inlineStr">
        <is>
          <t>Eliminar la actividad o condición que origina el riesgo.</t>
        </is>
      </c>
    </row>
    <row r="36" ht="32" customHeight="1">
      <c r="A36" s="31" t="inlineStr">
        <is>
          <t>Reducir</t>
        </is>
      </c>
      <c r="B36" s="22" t="inlineStr">
        <is>
          <t>Implementar controles para disminuir probabilidad o impacto.</t>
        </is>
      </c>
    </row>
    <row r="37" ht="32" customHeight="1">
      <c r="A37" s="31" t="inlineStr">
        <is>
          <t>Compartir</t>
        </is>
      </c>
      <c r="B37" s="22" t="inlineStr">
        <is>
          <t>Transferir parcialmente mediante proveedor, contrato, seguro o acuerdo de servicio.</t>
        </is>
      </c>
    </row>
    <row r="38" ht="32" customHeight="1">
      <c r="A38" s="31" t="inlineStr">
        <is>
          <t>Aceptar</t>
        </is>
      </c>
      <c r="B38" s="22" t="inlineStr">
        <is>
          <t>Conservar el riesgo con justificación y aprobación según el nivel.</t>
        </is>
      </c>
    </row>
    <row r="40" ht="35" customHeight="1">
      <c r="A40" s="32" t="inlineStr">
        <is>
          <t>Nota: la valoración residual debe sustentarse en evidencia. Si un control no está documentado o no se ejecuta, no debe disminuir la exposición.</t>
        </is>
      </c>
    </row>
  </sheetData>
  <mergeCells count="33">
    <mergeCell ref="B9:H9"/>
    <mergeCell ref="A24:H24"/>
    <mergeCell ref="B6:H6"/>
    <mergeCell ref="B30:H30"/>
    <mergeCell ref="A11:H11"/>
    <mergeCell ref="B15:H15"/>
    <mergeCell ref="A1:H1"/>
    <mergeCell ref="B5:H5"/>
    <mergeCell ref="B20:H20"/>
    <mergeCell ref="B36:H36"/>
    <mergeCell ref="B32:H32"/>
    <mergeCell ref="B26:H26"/>
    <mergeCell ref="B35:H35"/>
    <mergeCell ref="B16:H16"/>
    <mergeCell ref="B7:H7"/>
    <mergeCell ref="B25:H25"/>
    <mergeCell ref="B31:H31"/>
    <mergeCell ref="A18:H18"/>
    <mergeCell ref="B22:H22"/>
    <mergeCell ref="B27:H27"/>
    <mergeCell ref="B21:H21"/>
    <mergeCell ref="A2:H2"/>
    <mergeCell ref="B12:H12"/>
    <mergeCell ref="A40:H40"/>
    <mergeCell ref="A4:H4"/>
    <mergeCell ref="B8:H8"/>
    <mergeCell ref="B14:H14"/>
    <mergeCell ref="A29:H29"/>
    <mergeCell ref="B13:H13"/>
    <mergeCell ref="B38:H38"/>
    <mergeCell ref="B19:H19"/>
    <mergeCell ref="B37:H37"/>
    <mergeCell ref="A34:H34"/>
  </mergeCells>
  <pageMargins left="0.75" right="0.75" top="1" bottom="1" header="0.5" footer="0.5"/>
  <pageSetup orientation="landscape" fitToHeight="0" fitToWidth="1"/>
  <headerFooter>
    <oddHeader/>
    <oddFooter>&amp;C&amp;8 Promueve Más S.A.S. | Vigencia 2026 |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2026-07-21T19:17:40Z</dcterms:created>
  <dcterms:modified xsi:type="dcterms:W3CDTF">2026-07-21T19:17:40Z</dcterms:modified>
</cp:coreProperties>
</file>